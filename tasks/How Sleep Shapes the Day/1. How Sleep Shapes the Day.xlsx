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4.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amp; Charts" sheetId="1" r:id="rId5"/>
    <sheet state="visible" name="Processed Data" sheetId="2" r:id="rId6"/>
    <sheet state="visible" name="Mood Distribution" sheetId="3" r:id="rId7"/>
    <sheet state="visible" name="Sleep Quality by Moods" sheetId="4" r:id="rId8"/>
    <sheet state="visible" name="Sleep Quality Over Time" sheetId="5" r:id="rId9"/>
    <sheet state="visible" name="Sleep Hours and Sleep Quality" sheetId="6" r:id="rId10"/>
    <sheet state="visible" name="Sleeping Data" sheetId="7" r:id="rId11"/>
  </sheets>
  <definedNames>
    <definedName hidden="1" localSheetId="6" name="Z_9D8B9EB3_E4E5_4AA9_BAA5_879AB90C20D0_.wvu.FilterData">'Sleeping Data'!$A$1:$I$33</definedName>
  </definedNames>
  <calcPr/>
  <customWorkbookViews>
    <customWorkbookView activeSheetId="0" maximized="1" windowHeight="0" windowWidth="0" guid="{9D8B9EB3-E4E5-4AA9-BAA5-879AB90C20D0}" name="Filter 1"/>
  </customWorkbookViews>
</workbook>
</file>

<file path=xl/sharedStrings.xml><?xml version="1.0" encoding="utf-8"?>
<sst xmlns="http://schemas.openxmlformats.org/spreadsheetml/2006/main" count="98" uniqueCount="37">
  <si>
    <t>Metric</t>
  </si>
  <si>
    <t>Value</t>
  </si>
  <si>
    <t>Mood Count</t>
  </si>
  <si>
    <t>Start</t>
  </si>
  <si>
    <t>Sleep quality</t>
  </si>
  <si>
    <t>Time in bed</t>
  </si>
  <si>
    <t>Hours</t>
  </si>
  <si>
    <t>Average Sleep Quality</t>
  </si>
  <si>
    <t>Good</t>
  </si>
  <si>
    <t>Average Sleep Hours</t>
  </si>
  <si>
    <t>Neutral</t>
  </si>
  <si>
    <t>Unknown</t>
  </si>
  <si>
    <t>Mood</t>
  </si>
  <si>
    <t>End</t>
  </si>
  <si>
    <t>Wake up</t>
  </si>
  <si>
    <t>Wake up Mood</t>
  </si>
  <si>
    <t>Sleep Notes</t>
  </si>
  <si>
    <t>Heart rate</t>
  </si>
  <si>
    <t>Activity (steps)</t>
  </si>
  <si>
    <t>:)</t>
  </si>
  <si>
    <t/>
  </si>
  <si>
    <t>:|</t>
  </si>
  <si>
    <t>Stressful day</t>
  </si>
  <si>
    <t>Drank coffee:Drank tea</t>
  </si>
  <si>
    <t>Drank tea</t>
  </si>
  <si>
    <t>Ate late:Drank coffee</t>
  </si>
  <si>
    <t>Drank coffee:Drank tea:Worked out</t>
  </si>
  <si>
    <t>Drank tea:Worked out</t>
  </si>
  <si>
    <t>Drank coffee:Drank tea:Stressful day</t>
  </si>
  <si>
    <t>Drank coffee</t>
  </si>
  <si>
    <t xml:space="preserve"> </t>
  </si>
  <si>
    <t>How Sleep Shapes the Day</t>
  </si>
  <si>
    <t>The sleeping schedules and moods have some insightful numbers. This analysis shows organising numbers by looking at 4 areas: the moods people wake up with, how sleep quality shifts with different moods, how sleep quality moves up and down over time, and whether longer sleep hours lead to better rest. Here, good moods appeared on 68% of mornings. But do longer nights always lead to better days? The patterns offered clues.</t>
  </si>
  <si>
    <t>Better nights leave better mornings. Could just a little more rest turn a neutral day into a good one?  
Good mood days had the highest sleep quality, near 85–90%. Neutral moods came with lower sleep quality.</t>
  </si>
  <si>
    <t xml:space="preserve">Most days began like clear skies and, good mood. But what made some mornings cloudy? Neutral moods are isabout 26%, and unknown moods were rare. </t>
  </si>
  <si>
    <t>Does sleeping longer bring better sleep? The dots show a soft pattern. Longer sleep often came with higher quality, but not always. More than 6 hours really feels like enough</t>
  </si>
  <si>
    <t xml:space="preserve">This line follows how sleep quality moved day by day. Some days touched almost 100%. And others dropped lower.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</si>
</sst>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yyyy"/>
  </numFmts>
  <fonts count="9">
    <font>
      <sz val="10.0"/>
      <color rgb="FF000000"/>
      <name val="Arial"/>
      <scheme val="minor"/>
    </font>
    <font>
      <b/>
      <color theme="1"/>
      <name val="Arial"/>
      <scheme val="minor"/>
    </font>
    <font>
      <color theme="1"/>
      <name val="Arial"/>
      <scheme val="minor"/>
    </font>
    <font>
      <b/>
      <color theme="1"/>
      <name val="Arial"/>
    </font>
    <font>
      <color theme="1"/>
      <name val="Arial"/>
    </font>
    <font>
      <b/>
      <u/>
      <sz val="14.0"/>
      <color rgb="FF0D0B33"/>
      <name val="Arial"/>
      <scheme val="minor"/>
    </font>
    <font>
      <i/>
      <color rgb="FF0D0B33"/>
      <name val="Arial"/>
      <scheme val="minor"/>
    </font>
    <font/>
    <font>
      <color rgb="FF0D0B33"/>
      <name val="Arial"/>
      <scheme val="minor"/>
    </font>
  </fonts>
  <fills count="4">
    <fill>
      <patternFill patternType="none"/>
    </fill>
    <fill>
      <patternFill patternType="lightGray"/>
    </fill>
    <fill>
      <patternFill patternType="solid">
        <fgColor rgb="FFF3F3F3"/>
        <bgColor rgb="FFF3F3F3"/>
      </patternFill>
    </fill>
    <fill>
      <patternFill patternType="solid">
        <fgColor rgb="FFEFEFEF"/>
        <bgColor rgb="FFEFEFEF"/>
      </patternFill>
    </fill>
  </fills>
  <borders count="9">
    <border/>
    <border>
      <top style="thin">
        <color rgb="FF000000"/>
      </top>
    </border>
    <border>
      <bottom style="medium">
        <color rgb="FF0D0B33"/>
      </bottom>
    </border>
    <border>
      <left style="thin">
        <color rgb="FF53489F"/>
      </left>
      <top style="thin">
        <color rgb="FF53489F"/>
      </top>
    </border>
    <border>
      <right style="thin">
        <color rgb="FF53489F"/>
      </right>
      <top style="thin">
        <color rgb="FF53489F"/>
      </top>
    </border>
    <border>
      <left style="thin">
        <color rgb="FF53489F"/>
      </left>
    </border>
    <border>
      <right style="thin">
        <color rgb="FF53489F"/>
      </right>
    </border>
    <border>
      <left style="thin">
        <color rgb="FF53489F"/>
      </left>
      <bottom style="thin">
        <color rgb="FF53489F"/>
      </bottom>
    </border>
    <border>
      <right style="thin">
        <color rgb="FF53489F"/>
      </right>
      <bottom style="thin">
        <color rgb="FF53489F"/>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xf>
    <xf borderId="0" fillId="0" fontId="2" numFmtId="0" xfId="0" applyAlignment="1" applyFont="1">
      <alignment readingOrder="0"/>
    </xf>
    <xf borderId="0" fillId="0" fontId="3" numFmtId="164" xfId="0" applyAlignment="1" applyFont="1" applyNumberFormat="1">
      <alignment vertical="bottom"/>
    </xf>
    <xf borderId="0" fillId="0" fontId="3" numFmtId="9" xfId="0" applyAlignment="1" applyFont="1" applyNumberFormat="1">
      <alignment vertical="bottom"/>
    </xf>
    <xf borderId="0" fillId="0" fontId="1" numFmtId="9" xfId="0" applyAlignment="1" applyFont="1" applyNumberFormat="1">
      <alignment readingOrder="0"/>
    </xf>
    <xf borderId="0" fillId="0" fontId="1" numFmtId="46" xfId="0" applyAlignment="1" applyFont="1" applyNumberFormat="1">
      <alignment readingOrder="0"/>
    </xf>
    <xf borderId="0" fillId="0" fontId="1" numFmtId="2" xfId="0" applyAlignment="1" applyFont="1" applyNumberFormat="1">
      <alignment readingOrder="0"/>
    </xf>
    <xf borderId="0" fillId="0" fontId="2" numFmtId="9" xfId="0" applyAlignment="1" applyFont="1" applyNumberFormat="1">
      <alignment readingOrder="0"/>
    </xf>
    <xf borderId="0" fillId="0" fontId="4" numFmtId="165" xfId="0" applyAlignment="1" applyFont="1" applyNumberFormat="1">
      <alignment horizontal="right" vertical="bottom"/>
    </xf>
    <xf borderId="0" fillId="0" fontId="4" numFmtId="9" xfId="0" applyAlignment="1" applyFont="1" applyNumberFormat="1">
      <alignment horizontal="right" vertical="bottom"/>
    </xf>
    <xf borderId="0" fillId="0" fontId="2" numFmtId="46" xfId="0" applyAlignment="1" applyFont="1" applyNumberFormat="1">
      <alignment readingOrder="0"/>
    </xf>
    <xf borderId="0" fillId="0" fontId="2" numFmtId="2" xfId="0" applyFont="1" applyNumberFormat="1"/>
    <xf borderId="0" fillId="0" fontId="2" numFmtId="0" xfId="0" applyFont="1"/>
    <xf borderId="0" fillId="0" fontId="2" numFmtId="10" xfId="0" applyFont="1" applyNumberFormat="1"/>
    <xf borderId="0" fillId="0" fontId="4" numFmtId="164" xfId="0" applyAlignment="1" applyFont="1" applyNumberFormat="1">
      <alignment vertical="bottom"/>
    </xf>
    <xf borderId="0" fillId="0" fontId="4" numFmtId="9" xfId="0" applyAlignment="1" applyFont="1" applyNumberFormat="1">
      <alignment vertical="bottom"/>
    </xf>
    <xf borderId="0" fillId="0" fontId="2" numFmtId="164" xfId="0" applyAlignment="1" applyFont="1" applyNumberFormat="1">
      <alignment readingOrder="0"/>
    </xf>
    <xf borderId="0" fillId="0" fontId="2" numFmtId="3" xfId="0" applyAlignment="1" applyFont="1" applyNumberFormat="1">
      <alignment readingOrder="0"/>
    </xf>
    <xf borderId="0" fillId="0" fontId="2" numFmtId="164" xfId="0" applyFont="1" applyNumberFormat="1"/>
    <xf borderId="0" fillId="0" fontId="2" numFmtId="9" xfId="0" applyFont="1" applyNumberFormat="1"/>
    <xf borderId="0" fillId="0" fontId="2" numFmtId="3" xfId="0" applyFont="1" applyNumberFormat="1"/>
    <xf borderId="0" fillId="0" fontId="2" numFmtId="46" xfId="0" applyFont="1" applyNumberFormat="1"/>
    <xf borderId="0" fillId="0" fontId="5" numFmtId="0" xfId="0" applyAlignment="1" applyFont="1">
      <alignment horizontal="center" readingOrder="0" vertical="center"/>
    </xf>
    <xf borderId="1" fillId="0" fontId="2" numFmtId="0" xfId="0" applyBorder="1" applyFont="1"/>
    <xf borderId="0" fillId="2" fontId="6" numFmtId="0" xfId="0" applyAlignment="1" applyFill="1" applyFont="1">
      <alignment horizontal="center" readingOrder="0" shrinkToFit="0" vertical="center" wrapText="1"/>
    </xf>
    <xf borderId="2" fillId="0" fontId="7" numFmtId="0" xfId="0" applyBorder="1" applyFont="1"/>
    <xf borderId="3" fillId="3" fontId="8" numFmtId="0" xfId="0" applyAlignment="1" applyBorder="1" applyFill="1" applyFont="1">
      <alignment horizontal="left" readingOrder="0" shrinkToFit="0" vertical="center" wrapText="1"/>
    </xf>
    <xf borderId="4" fillId="0" fontId="7" numFmtId="0" xfId="0" applyBorder="1" applyFont="1"/>
    <xf borderId="5" fillId="0" fontId="7" numFmtId="0" xfId="0" applyBorder="1" applyFont="1"/>
    <xf borderId="6" fillId="0" fontId="7" numFmtId="0" xfId="0" applyBorder="1" applyFont="1"/>
    <xf borderId="7" fillId="0" fontId="7" numFmtId="0" xfId="0" applyBorder="1" applyFont="1"/>
    <xf borderId="8" fillId="0" fontId="7" numFmtId="0" xfId="0" applyBorder="1" applyFont="1"/>
    <xf borderId="3" fillId="3" fontId="2" numFmtId="0" xfId="0" applyAlignment="1" applyBorder="1" applyFont="1">
      <alignment readingOrder="0" shrinkToFit="0" vertical="center" wrapText="1"/>
    </xf>
    <xf borderId="4" fillId="3" fontId="2"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3.xml"/><Relationship Id="rId10" Type="http://schemas.openxmlformats.org/officeDocument/2006/relationships/chartsheet" Target="chartsheets/sheet4.xml"/><Relationship Id="rId9" Type="http://schemas.openxmlformats.org/officeDocument/2006/relationships/chartsheet" Target="chartsheets/sheet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chartsheet" Target="chartsheets/sheet1.xml"/><Relationship Id="rId8" Type="http://schemas.openxmlformats.org/officeDocument/2006/relationships/chartsheet" Target="chart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0D0B33"/>
                </a:solidFill>
                <a:latin typeface="Arial"/>
              </a:defRPr>
            </a:pPr>
            <a:r>
              <a:rPr b="1" sz="1400">
                <a:solidFill>
                  <a:srgbClr val="0D0B33"/>
                </a:solidFill>
                <a:latin typeface="Arial"/>
              </a:rPr>
              <a:t>Mood Distribution</a:t>
            </a:r>
          </a:p>
        </c:rich>
      </c:tx>
      <c:overlay val="0"/>
    </c:title>
    <c:plotArea>
      <c:layout/>
      <c:pieChart>
        <c:varyColors val="1"/>
        <c:ser>
          <c:idx val="0"/>
          <c:order val="0"/>
          <c:tx>
            <c:strRef>
              <c:f>'Processed Data'!$E$1</c:f>
            </c:strRef>
          </c:tx>
          <c:dPt>
            <c:idx val="0"/>
            <c:spPr>
              <a:solidFill>
                <a:srgbClr val="C266A7"/>
              </a:solidFill>
            </c:spPr>
          </c:dPt>
          <c:dPt>
            <c:idx val="1"/>
            <c:spPr>
              <a:solidFill>
                <a:srgbClr val="53489F"/>
              </a:solidFill>
            </c:spPr>
          </c:dPt>
          <c:dPt>
            <c:idx val="2"/>
            <c:spPr>
              <a:solidFill>
                <a:srgbClr val="4C306F"/>
              </a:solidFill>
            </c:spPr>
          </c:dPt>
          <c:dLbls>
            <c:showLegendKey val="0"/>
            <c:showVal val="0"/>
            <c:showCatName val="0"/>
            <c:showSerName val="0"/>
            <c:showPercent val="1"/>
            <c:showBubbleSize val="0"/>
            <c:showLeaderLines val="1"/>
          </c:dLbls>
          <c:cat>
            <c:strRef>
              <c:f>'Processed Data'!$D$2:$D$4</c:f>
            </c:strRef>
          </c:cat>
          <c:val>
            <c:numRef>
              <c:f>'Processed Data'!$E$2:$E$4</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a:solidFill>
                <a:srgbClr val="1A1A1A"/>
              </a:solidFill>
              <a:latin typeface="+mn-lt"/>
            </a:defRPr>
          </a:pPr>
        </a:p>
      </c:txPr>
    </c:legend>
    <c:plotVisOnly val="1"/>
  </c:chart>
  <c:spPr>
    <a:solidFill>
      <a:srgbClr val="E7C8E7"/>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0D0B33"/>
                </a:solidFill>
                <a:latin typeface="Arial"/>
              </a:defRPr>
            </a:pPr>
            <a:r>
              <a:rPr b="1" sz="1400">
                <a:solidFill>
                  <a:srgbClr val="0D0B33"/>
                </a:solidFill>
                <a:latin typeface="Arial"/>
              </a:rPr>
              <a:t>Sleep Quality by Moods</a:t>
            </a:r>
          </a:p>
        </c:rich>
      </c:tx>
      <c:overlay val="0"/>
    </c:title>
    <c:plotArea>
      <c:layout/>
      <c:barChart>
        <c:barDir val="bar"/>
        <c:ser>
          <c:idx val="0"/>
          <c:order val="0"/>
          <c:tx>
            <c:strRef>
              <c:f>'Processed Data'!$E$6</c:f>
            </c:strRef>
          </c:tx>
          <c:spPr>
            <a:solidFill>
              <a:srgbClr val="C266A7"/>
            </a:solidFill>
            <a:ln cmpd="sng">
              <a:noFill/>
              <a:prstDash val="solid"/>
            </a:ln>
          </c:spPr>
          <c:dPt>
            <c:idx val="1"/>
            <c:spPr>
              <a:solidFill>
                <a:srgbClr val="53489F"/>
              </a:solidFill>
              <a:ln cmpd="sng">
                <a:noFill/>
              </a:ln>
            </c:spPr>
          </c:dPt>
          <c:dPt>
            <c:idx val="2"/>
            <c:spPr>
              <a:solidFill>
                <a:srgbClr val="4C306F"/>
              </a:solidFill>
              <a:ln cmpd="sng">
                <a:noFill/>
              </a:ln>
            </c:spPr>
          </c:dPt>
          <c:dLbls>
            <c:numFmt formatCode="General" sourceLinked="1"/>
            <c:txPr>
              <a:bodyPr/>
              <a:lstStyle/>
              <a:p>
                <a:pPr lvl="0">
                  <a:defRPr>
                    <a:solidFill>
                      <a:srgbClr val="E7C8E7"/>
                    </a:solidFill>
                    <a:latin typeface="Arial"/>
                  </a:defRPr>
                </a:pPr>
              </a:p>
            </c:txPr>
            <c:showLegendKey val="0"/>
            <c:showVal val="1"/>
            <c:showCatName val="0"/>
            <c:showSerName val="0"/>
            <c:showPercent val="0"/>
            <c:showBubbleSize val="0"/>
          </c:dLbls>
          <c:cat>
            <c:strRef>
              <c:f>'Processed Data'!$D$7:$D$9</c:f>
            </c:strRef>
          </c:cat>
          <c:val>
            <c:numRef>
              <c:f>'Processed Data'!$E$7:$E$9</c:f>
              <c:numCache/>
            </c:numRef>
          </c:val>
        </c:ser>
        <c:axId val="1189729107"/>
        <c:axId val="1034110479"/>
      </c:barChart>
      <c:catAx>
        <c:axId val="1189729107"/>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spPr>
          <a:ln>
            <a:noFill/>
          </a:ln>
        </c:spPr>
        <c:txPr>
          <a:bodyPr/>
          <a:lstStyle/>
          <a:p>
            <a:pPr lvl="0">
              <a:defRPr b="0">
                <a:solidFill>
                  <a:srgbClr val="0D0B33"/>
                </a:solidFill>
                <a:latin typeface="Arial"/>
              </a:defRPr>
            </a:pPr>
          </a:p>
        </c:txPr>
        <c:crossAx val="1034110479"/>
      </c:catAx>
      <c:valAx>
        <c:axId val="1034110479"/>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
                </a:r>
              </a:p>
            </c:rich>
          </c:tx>
          <c:overlay val="0"/>
        </c:title>
        <c:numFmt formatCode="0.00%" sourceLinked="0"/>
        <c:majorTickMark val="none"/>
        <c:minorTickMark val="none"/>
        <c:tickLblPos val="nextTo"/>
        <c:spPr>
          <a:ln>
            <a:noFill/>
          </a:ln>
        </c:spPr>
        <c:txPr>
          <a:bodyPr/>
          <a:lstStyle/>
          <a:p>
            <a:pPr lvl="0">
              <a:defRPr b="0" sz="600">
                <a:solidFill>
                  <a:srgbClr val="E7C8E7"/>
                </a:solidFill>
                <a:latin typeface="+mn-lt"/>
              </a:defRPr>
            </a:pPr>
          </a:p>
        </c:txPr>
        <c:crossAx val="1189729107"/>
        <c:crosses val="max"/>
      </c:valAx>
    </c:plotArea>
    <c:legend>
      <c:legendPos val="r"/>
      <c:overlay val="0"/>
      <c:txPr>
        <a:bodyPr/>
        <a:lstStyle/>
        <a:p>
          <a:pPr lvl="0">
            <a:defRPr b="0">
              <a:solidFill>
                <a:srgbClr val="0D0B33"/>
              </a:solidFill>
              <a:latin typeface="Arial"/>
            </a:defRPr>
          </a:pPr>
        </a:p>
      </c:txPr>
    </c:legend>
    <c:plotVisOnly val="1"/>
  </c:chart>
  <c:spPr>
    <a:solidFill>
      <a:srgbClr val="E7C8E7"/>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0D0B33"/>
                </a:solidFill>
                <a:latin typeface="+mn-lt"/>
              </a:defRPr>
            </a:pPr>
            <a:r>
              <a:rPr b="1" sz="1400">
                <a:solidFill>
                  <a:srgbClr val="0D0B33"/>
                </a:solidFill>
                <a:latin typeface="+mn-lt"/>
              </a:rPr>
              <a:t>Sleep Quality Over Time</a:t>
            </a:r>
          </a:p>
        </c:rich>
      </c:tx>
      <c:overlay val="0"/>
    </c:title>
    <c:plotArea>
      <c:layout/>
      <c:lineChart>
        <c:varyColors val="0"/>
        <c:ser>
          <c:idx val="0"/>
          <c:order val="0"/>
          <c:tx>
            <c:strRef>
              <c:f>'Processed Data'!$H$1</c:f>
            </c:strRef>
          </c:tx>
          <c:spPr>
            <a:ln cmpd="sng">
              <a:solidFill>
                <a:srgbClr val="4C306F">
                  <a:alpha val="100000"/>
                </a:srgbClr>
              </a:solidFill>
              <a:prstDash val="solid"/>
            </a:ln>
          </c:spPr>
          <c:marker>
            <c:symbol val="none"/>
          </c:marker>
          <c:cat>
            <c:strRef>
              <c:f>'Processed Data'!$G$2:$G$32</c:f>
            </c:strRef>
          </c:cat>
          <c:val>
            <c:numRef>
              <c:f>'Processed Data'!$H$2:$H$32</c:f>
              <c:numCache/>
            </c:numRef>
          </c:val>
          <c:smooth val="1"/>
        </c:ser>
        <c:axId val="1760551718"/>
        <c:axId val="1664074798"/>
      </c:lineChart>
      <c:catAx>
        <c:axId val="17605517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chemeClr val="dk1"/>
                </a:solidFill>
                <a:latin typeface="+mn-lt"/>
              </a:defRPr>
            </a:pPr>
          </a:p>
        </c:txPr>
        <c:crossAx val="1664074798"/>
      </c:catAx>
      <c:valAx>
        <c:axId val="1664074798"/>
        <c:scaling>
          <c:orientation val="minMax"/>
        </c:scaling>
        <c:delete val="0"/>
        <c:axPos val="l"/>
        <c:majorGridlines>
          <c:spPr>
            <a:ln>
              <a:solidFill>
                <a:srgbClr val="C266A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D0B33"/>
                </a:solidFill>
                <a:latin typeface="+mn-lt"/>
              </a:defRPr>
            </a:pPr>
          </a:p>
        </c:txPr>
        <c:crossAx val="1760551718"/>
      </c:valAx>
    </c:plotArea>
    <c:legend>
      <c:legendPos val="r"/>
      <c:overlay val="0"/>
      <c:txPr>
        <a:bodyPr/>
        <a:lstStyle/>
        <a:p>
          <a:pPr lvl="0">
            <a:defRPr b="0">
              <a:solidFill>
                <a:srgbClr val="1A1A1A"/>
              </a:solidFill>
              <a:latin typeface="+mn-lt"/>
            </a:defRPr>
          </a:pPr>
        </a:p>
      </c:txPr>
    </c:legend>
    <c:plotVisOnly val="1"/>
  </c:chart>
  <c:spPr>
    <a:solidFill>
      <a:srgbClr val="E7C8E7"/>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0D0B33"/>
                </a:solidFill>
                <a:latin typeface="+mn-lt"/>
              </a:defRPr>
            </a:pPr>
            <a:r>
              <a:rPr b="1" sz="1400">
                <a:solidFill>
                  <a:srgbClr val="0D0B33"/>
                </a:solidFill>
                <a:latin typeface="+mn-lt"/>
              </a:rPr>
              <a:t>Sleep Hours and Sleep Quality</a:t>
            </a:r>
          </a:p>
        </c:rich>
      </c:tx>
      <c:overlay val="0"/>
    </c:title>
    <c:plotArea>
      <c:layout/>
      <c:scatterChart>
        <c:scatterStyle val="lineMarker"/>
        <c:varyColors val="0"/>
        <c:ser>
          <c:idx val="0"/>
          <c:order val="0"/>
          <c:tx>
            <c:strRef>
              <c:f>'Processed Data'!$L$1</c:f>
            </c:strRef>
          </c:tx>
          <c:spPr>
            <a:ln>
              <a:noFill/>
            </a:ln>
          </c:spPr>
          <c:marker>
            <c:symbol val="circle"/>
            <c:size val="7"/>
            <c:spPr>
              <a:solidFill>
                <a:srgbClr val="53489F"/>
              </a:solidFill>
              <a:ln cmpd="sng">
                <a:solidFill>
                  <a:srgbClr val="53489F"/>
                </a:solidFill>
              </a:ln>
            </c:spPr>
          </c:marker>
          <c:trendline>
            <c:name/>
            <c:spPr>
              <a:ln w="19050">
                <a:solidFill>
                  <a:srgbClr val="0D0B33">
                    <a:alpha val="40000"/>
                  </a:srgbClr>
                </a:solidFill>
              </a:ln>
            </c:spPr>
            <c:trendlineType val="linear"/>
            <c:dispRSqr val="0"/>
            <c:dispEq val="0"/>
          </c:trendline>
          <c:xVal>
            <c:numRef>
              <c:f>'Processed Data'!$J$2:$J$32</c:f>
            </c:numRef>
          </c:xVal>
          <c:yVal>
            <c:numRef>
              <c:f>'Processed Data'!$L$2:$L$32</c:f>
              <c:numCache/>
            </c:numRef>
          </c:yVal>
        </c:ser>
        <c:dLbls>
          <c:showLegendKey val="0"/>
          <c:showVal val="0"/>
          <c:showCatName val="0"/>
          <c:showSerName val="0"/>
          <c:showPercent val="0"/>
          <c:showBubbleSize val="0"/>
        </c:dLbls>
        <c:axId val="1115639327"/>
        <c:axId val="592399750"/>
      </c:scatterChart>
      <c:valAx>
        <c:axId val="1115639327"/>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D0B33"/>
                </a:solidFill>
                <a:latin typeface="+mn-lt"/>
              </a:defRPr>
            </a:pPr>
          </a:p>
        </c:txPr>
        <c:crossAx val="592399750"/>
      </c:valAx>
      <c:valAx>
        <c:axId val="592399750"/>
        <c:scaling>
          <c:orientation val="minMax"/>
        </c:scaling>
        <c:delete val="0"/>
        <c:axPos val="l"/>
        <c:majorGridlines>
          <c:spPr>
            <a:ln>
              <a:solidFill>
                <a:srgbClr val="C266A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D0B33"/>
                </a:solidFill>
                <a:latin typeface="Arial"/>
              </a:defRPr>
            </a:pPr>
          </a:p>
        </c:txPr>
        <c:crossAx val="1115639327"/>
      </c:valAx>
    </c:plotArea>
    <c:plotVisOnly val="1"/>
  </c:chart>
  <c:spPr>
    <a:solidFill>
      <a:srgbClr val="E7C8E7"/>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Mood Distribution</a:t>
            </a:r>
          </a:p>
        </c:rich>
      </c:tx>
      <c:overlay val="0"/>
    </c:title>
    <c:plotArea>
      <c:layout/>
      <c:pieChart>
        <c:varyColors val="1"/>
        <c:ser>
          <c:idx val="0"/>
          <c:order val="0"/>
          <c:tx>
            <c:strRef>
              <c:f>'Processed Data'!$E$1</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'Processed Data'!$D$2:$D$4</c:f>
            </c:strRef>
          </c:cat>
          <c:val>
            <c:numRef>
              <c:f>'Processed Data'!$E$2:$E$4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Sleep Quality by Moods</a:t>
            </a:r>
          </a:p>
        </c:rich>
      </c:tx>
      <c:overlay val="0"/>
    </c:title>
    <c:plotArea>
      <c:layout/>
      <c:barChart>
        <c:barDir val="col"/>
        <c:ser>
          <c:idx val="0"/>
          <c:order val="0"/>
          <c:tx>
            <c:strRef>
              <c:f>'Processed Data'!$E$6</c:f>
            </c:strRef>
          </c:tx>
          <c:spPr>
            <a:solidFill>
              <a:schemeClr val="accent1"/>
            </a:solidFill>
            <a:ln cmpd="sng">
              <a:noFill/>
            </a:ln>
          </c:spPr>
          <c:cat>
            <c:strRef>
              <c:f>'Processed Data'!$D$7:$D$9</c:f>
            </c:strRef>
          </c:cat>
          <c:val>
            <c:numRef>
              <c:f>'Processed Data'!$E$7:$E$9</c:f>
              <c:numCache/>
            </c:numRef>
          </c:val>
        </c:ser>
        <c:axId val="1025521621"/>
        <c:axId val="1200868705"/>
      </c:barChart>
      <c:catAx>
        <c:axId val="10255216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Mood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00868705"/>
      </c:catAx>
      <c:valAx>
        <c:axId val="12008687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25521621"/>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Sleep Quality Over Time</a:t>
            </a:r>
          </a:p>
        </c:rich>
      </c:tx>
      <c:overlay val="0"/>
    </c:title>
    <c:plotArea>
      <c:layout/>
      <c:lineChart>
        <c:varyColors val="0"/>
        <c:ser>
          <c:idx val="0"/>
          <c:order val="0"/>
          <c:tx>
            <c:strRef>
              <c:f>'Processed Data'!$H$1</c:f>
            </c:strRef>
          </c:tx>
          <c:spPr>
            <a:ln cmpd="sng">
              <a:solidFill>
                <a:srgbClr val="4285F4"/>
              </a:solidFill>
            </a:ln>
          </c:spPr>
          <c:marker>
            <c:symbol val="none"/>
          </c:marker>
          <c:cat>
            <c:strRef>
              <c:f>'Processed Data'!$G$2:$G$32</c:f>
            </c:strRef>
          </c:cat>
          <c:val>
            <c:numRef>
              <c:f>'Processed Data'!$H$2:$H$32</c:f>
              <c:numCache/>
            </c:numRef>
          </c:val>
          <c:smooth val="1"/>
        </c:ser>
        <c:axId val="412773496"/>
        <c:axId val="810665141"/>
      </c:lineChart>
      <c:catAx>
        <c:axId val="4127734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Start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10665141"/>
      </c:catAx>
      <c:valAx>
        <c:axId val="8106651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Sleep quality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12773496"/>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Sleep Hours and Sleep Quality</a:t>
            </a:r>
          </a:p>
        </c:rich>
      </c:tx>
      <c:overlay val="0"/>
    </c:title>
    <c:plotArea>
      <c:layout/>
      <c:scatterChart>
        <c:scatterStyle val="lineMarker"/>
        <c:varyColors val="0"/>
        <c:ser>
          <c:idx val="0"/>
          <c:order val="0"/>
          <c:tx>
            <c:strRef>
              <c:f>'Processed Data'!$L$1</c:f>
            </c:strRef>
          </c:tx>
          <c:spPr>
            <a:ln>
              <a:noFill/>
            </a:ln>
          </c:spPr>
          <c:marker>
            <c:symbol val="circle"/>
            <c:size val="7"/>
            <c:spPr>
              <a:solidFill>
                <a:schemeClr val="accent1"/>
              </a:solidFill>
              <a:ln cmpd="sng">
                <a:solidFill>
                  <a:schemeClr val="accent1"/>
                </a:solidFill>
              </a:ln>
            </c:spPr>
          </c:marker>
          <c:xVal>
            <c:numRef>
              <c:f>'Processed Data'!$J$2:$J$32</c:f>
            </c:numRef>
          </c:xVal>
          <c:yVal>
            <c:numRef>
              <c:f>'Processed Data'!$L$2:$L$32</c:f>
              <c:numCache/>
            </c:numRef>
          </c:yVal>
        </c:ser>
        <c:dLbls>
          <c:showLegendKey val="0"/>
          <c:showVal val="0"/>
          <c:showCatName val="0"/>
          <c:showSerName val="0"/>
          <c:showPercent val="0"/>
          <c:showBubbleSize val="0"/>
        </c:dLbls>
        <c:axId val="635983721"/>
        <c:axId val="795164418"/>
      </c:scatterChart>
      <c:valAx>
        <c:axId val="63598372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Sleep quality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95164418"/>
      </c:valAx>
      <c:valAx>
        <c:axId val="7951644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Hours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35983721"/>
      </c:valAx>
    </c:plotArea>
    <c:legend>
      <c:legendPos val="r"/>
      <c:overlay val="0"/>
      <c:txPr>
        <a:bodyPr/>
        <a:lstStyle/>
        <a:p>
          <a:pPr lvl="0">
            <a:defRPr b="0">
              <a:solidFill>
                <a:srgbClr val="1A1A1A"/>
              </a:solidFill>
              <a:latin typeface="+mn-lt"/>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4.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3</xdr:row>
      <xdr:rowOff>123825</xdr:rowOff>
    </xdr:from>
    <xdr:ext cx="3562350" cy="26574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447675</xdr:colOff>
      <xdr:row>3</xdr:row>
      <xdr:rowOff>123825</xdr:rowOff>
    </xdr:from>
    <xdr:ext cx="3857625" cy="26574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247650</xdr:colOff>
      <xdr:row>18</xdr:row>
      <xdr:rowOff>9525</xdr:rowOff>
    </xdr:from>
    <xdr:ext cx="4543425" cy="2819400"/>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114300</xdr:colOff>
      <xdr:row>18</xdr:row>
      <xdr:rowOff>76200</xdr:rowOff>
    </xdr:from>
    <xdr:ext cx="4667250" cy="2857500"/>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5" max="5" width="14.88"/>
  </cols>
  <sheetData>
    <row r="1" ht="28.5" customHeight="1">
      <c r="A1" s="24" t="s">
        <v>31</v>
      </c>
      <c r="N1" s="25"/>
      <c r="O1" s="25"/>
      <c r="P1" s="25"/>
      <c r="Q1" s="25"/>
      <c r="R1" s="25"/>
      <c r="S1" s="25"/>
      <c r="T1" s="25"/>
      <c r="U1" s="25"/>
      <c r="V1" s="25"/>
      <c r="W1" s="25"/>
      <c r="X1" s="25"/>
      <c r="Y1" s="25"/>
      <c r="Z1" s="25"/>
    </row>
    <row r="2">
      <c r="A2" s="26" t="s">
        <v>32</v>
      </c>
    </row>
    <row r="3" ht="25.5" customHeight="1">
      <c r="A3" s="27"/>
      <c r="B3" s="27"/>
      <c r="C3" s="27"/>
      <c r="D3" s="27"/>
      <c r="E3" s="27"/>
      <c r="F3" s="27"/>
      <c r="G3" s="27"/>
      <c r="H3" s="27"/>
      <c r="I3" s="27"/>
      <c r="J3" s="27"/>
      <c r="K3" s="27"/>
      <c r="L3" s="27"/>
      <c r="M3" s="27"/>
    </row>
    <row r="6">
      <c r="L6" s="28" t="s">
        <v>33</v>
      </c>
      <c r="M6" s="29"/>
    </row>
    <row r="7">
      <c r="E7" s="28" t="s">
        <v>34</v>
      </c>
      <c r="F7" s="29"/>
      <c r="L7" s="30"/>
      <c r="M7" s="31"/>
    </row>
    <row r="8">
      <c r="E8" s="30"/>
      <c r="F8" s="31"/>
      <c r="L8" s="30"/>
      <c r="M8" s="31"/>
    </row>
    <row r="9">
      <c r="E9" s="30"/>
      <c r="F9" s="31"/>
      <c r="L9" s="30"/>
      <c r="M9" s="31"/>
    </row>
    <row r="10">
      <c r="E10" s="30"/>
      <c r="F10" s="31"/>
      <c r="L10" s="30"/>
      <c r="M10" s="31"/>
    </row>
    <row r="11">
      <c r="E11" s="30"/>
      <c r="F11" s="31"/>
      <c r="L11" s="30"/>
      <c r="M11" s="31"/>
    </row>
    <row r="12">
      <c r="E12" s="30"/>
      <c r="F12" s="31"/>
      <c r="L12" s="30"/>
      <c r="M12" s="31"/>
    </row>
    <row r="13">
      <c r="E13" s="30"/>
      <c r="F13" s="31"/>
      <c r="L13" s="30"/>
      <c r="M13" s="31"/>
    </row>
    <row r="14">
      <c r="E14" s="30"/>
      <c r="F14" s="31"/>
      <c r="L14" s="30"/>
      <c r="M14" s="31"/>
    </row>
    <row r="15">
      <c r="E15" s="30"/>
      <c r="F15" s="31"/>
      <c r="L15" s="30"/>
      <c r="M15" s="31"/>
    </row>
    <row r="16">
      <c r="E16" s="30"/>
      <c r="F16" s="31"/>
      <c r="L16" s="32"/>
      <c r="M16" s="33"/>
    </row>
    <row r="17">
      <c r="E17" s="32"/>
      <c r="F17" s="33"/>
    </row>
    <row r="21">
      <c r="F21" s="34" t="s">
        <v>35</v>
      </c>
      <c r="G21" s="29"/>
      <c r="H21" s="35" t="s">
        <v>36</v>
      </c>
    </row>
    <row r="22">
      <c r="F22" s="30"/>
      <c r="G22" s="31"/>
      <c r="H22" s="31"/>
    </row>
    <row r="23">
      <c r="F23" s="30"/>
      <c r="G23" s="31"/>
      <c r="H23" s="31"/>
    </row>
    <row r="24">
      <c r="F24" s="30"/>
      <c r="G24" s="31"/>
      <c r="H24" s="31"/>
    </row>
    <row r="25">
      <c r="F25" s="30"/>
      <c r="G25" s="31"/>
      <c r="H25" s="31"/>
    </row>
    <row r="26">
      <c r="F26" s="30"/>
      <c r="G26" s="31"/>
      <c r="H26" s="31"/>
    </row>
    <row r="27">
      <c r="F27" s="30"/>
      <c r="G27" s="31"/>
      <c r="H27" s="31"/>
    </row>
    <row r="28">
      <c r="F28" s="30"/>
      <c r="G28" s="31"/>
      <c r="H28" s="31"/>
    </row>
    <row r="29">
      <c r="F29" s="30"/>
      <c r="G29" s="31"/>
      <c r="H29" s="31"/>
    </row>
    <row r="30">
      <c r="F30" s="30"/>
      <c r="G30" s="31"/>
      <c r="H30" s="31"/>
    </row>
    <row r="31">
      <c r="F31" s="30"/>
      <c r="G31" s="31"/>
      <c r="H31" s="31"/>
    </row>
    <row r="32">
      <c r="F32" s="32"/>
      <c r="G32" s="33"/>
      <c r="H32" s="33"/>
    </row>
  </sheetData>
  <mergeCells count="6">
    <mergeCell ref="A1:M1"/>
    <mergeCell ref="A2:M3"/>
    <mergeCell ref="L6:M16"/>
    <mergeCell ref="E7:F17"/>
    <mergeCell ref="F21:G32"/>
    <mergeCell ref="H21:H32"/>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13"/>
    <col customWidth="1" min="2" max="2" width="17.63"/>
    <col customWidth="1" min="5" max="5" width="18.0"/>
  </cols>
  <sheetData>
    <row r="1">
      <c r="A1" s="1" t="s">
        <v>0</v>
      </c>
      <c r="B1" s="1" t="s">
        <v>1</v>
      </c>
      <c r="D1" s="2" t="s">
        <v>2</v>
      </c>
      <c r="E1" s="3"/>
      <c r="G1" s="4" t="s">
        <v>3</v>
      </c>
      <c r="H1" s="5" t="s">
        <v>4</v>
      </c>
      <c r="J1" s="6" t="s">
        <v>4</v>
      </c>
      <c r="K1" s="7" t="s">
        <v>5</v>
      </c>
      <c r="L1" s="8" t="s">
        <v>6</v>
      </c>
    </row>
    <row r="2">
      <c r="A2" s="3" t="s">
        <v>7</v>
      </c>
      <c r="B2" s="9">
        <f>AVERAGE('Sleeping Data'!C2:C32)</f>
        <v>0.7761290323</v>
      </c>
      <c r="D2" s="3" t="s">
        <v>8</v>
      </c>
      <c r="E2" s="3">
        <f>COUNTIF('Sleeping Data'!F2:F32, "Good")</f>
        <v>21</v>
      </c>
      <c r="G2" s="10">
        <v>42002.95681712963</v>
      </c>
      <c r="H2" s="11">
        <v>1.0</v>
      </c>
      <c r="J2" s="9">
        <v>1.0</v>
      </c>
      <c r="K2" s="12">
        <v>0.35555555555555557</v>
      </c>
      <c r="L2" s="13">
        <f t="shared" ref="L2:L32" si="1">HOUR(K2) + (MINUTE(K2)/60) + (SECOND(K2)/3600)</f>
        <v>8.533333333</v>
      </c>
    </row>
    <row r="3">
      <c r="A3" s="3" t="s">
        <v>9</v>
      </c>
      <c r="B3" s="12">
        <f>AVERAGE('Sleeping Data'!D2:D32)</f>
        <v>0.3081541219</v>
      </c>
      <c r="D3" s="3" t="s">
        <v>10</v>
      </c>
      <c r="E3" s="14">
        <f>COUNTIF('Sleeping Data'!F2:F32, "Neutral")</f>
        <v>8</v>
      </c>
      <c r="G3" s="10">
        <v>42003.88738425926</v>
      </c>
      <c r="H3" s="11">
        <v>0.03</v>
      </c>
      <c r="J3" s="9">
        <v>0.03</v>
      </c>
      <c r="K3" s="12">
        <v>0.011111111111111112</v>
      </c>
      <c r="L3" s="13">
        <f t="shared" si="1"/>
        <v>0.2666666667</v>
      </c>
    </row>
    <row r="4">
      <c r="D4" s="3" t="s">
        <v>11</v>
      </c>
      <c r="E4" s="14">
        <f>COUNTIF('Sleeping Data'!F2:F32, "Unknown")</f>
        <v>2</v>
      </c>
      <c r="G4" s="10">
        <v>42003.94640046296</v>
      </c>
      <c r="H4" s="11">
        <v>0.98</v>
      </c>
      <c r="J4" s="9">
        <v>0.98</v>
      </c>
      <c r="K4" s="12">
        <v>0.3541666666666667</v>
      </c>
      <c r="L4" s="13">
        <f t="shared" si="1"/>
        <v>8.5</v>
      </c>
    </row>
    <row r="5">
      <c r="G5" s="10">
        <v>42004.938206018516</v>
      </c>
      <c r="H5" s="11">
        <v>0.65</v>
      </c>
      <c r="J5" s="9">
        <v>0.65</v>
      </c>
      <c r="K5" s="12">
        <v>0.3138888888888889</v>
      </c>
      <c r="L5" s="13">
        <f t="shared" si="1"/>
        <v>7.533333333</v>
      </c>
    </row>
    <row r="6">
      <c r="D6" s="2" t="s">
        <v>12</v>
      </c>
      <c r="E6" s="2" t="s">
        <v>7</v>
      </c>
      <c r="G6" s="10">
        <v>42005.92511574074</v>
      </c>
      <c r="H6" s="11">
        <v>0.72</v>
      </c>
      <c r="J6" s="9">
        <v>0.72</v>
      </c>
      <c r="K6" s="12">
        <v>0.28055555555555556</v>
      </c>
      <c r="L6" s="13">
        <f t="shared" si="1"/>
        <v>6.733333333</v>
      </c>
    </row>
    <row r="7">
      <c r="D7" s="3" t="s">
        <v>8</v>
      </c>
      <c r="E7" s="15">
        <f>AVERAGEIF('Sleeping Data'!F2:F32, "Good", 'Sleeping Data'!C2:C32)</f>
        <v>0.8019047619</v>
      </c>
      <c r="G7" s="10">
        <v>42007.02427083333</v>
      </c>
      <c r="H7" s="11">
        <v>0.83</v>
      </c>
      <c r="J7" s="9">
        <v>0.83</v>
      </c>
      <c r="K7" s="12">
        <v>0.3</v>
      </c>
      <c r="L7" s="13">
        <f t="shared" si="1"/>
        <v>7.2</v>
      </c>
    </row>
    <row r="8">
      <c r="D8" s="3" t="s">
        <v>10</v>
      </c>
      <c r="E8" s="15">
        <f>AVERAGEIF('Sleeping Data'!F2:F32, "Neutral", 'Sleeping Data'!C2:C32)</f>
        <v>0.72375</v>
      </c>
      <c r="G8" s="10">
        <v>42008.01604166667</v>
      </c>
      <c r="H8" s="11">
        <v>0.78</v>
      </c>
      <c r="J8" s="9">
        <v>0.78</v>
      </c>
      <c r="K8" s="12">
        <v>0.3013888888888889</v>
      </c>
      <c r="L8" s="13">
        <f t="shared" si="1"/>
        <v>7.233333333</v>
      </c>
    </row>
    <row r="9">
      <c r="D9" s="3" t="s">
        <v>11</v>
      </c>
      <c r="E9" s="15">
        <f>AVERAGEIF('Sleeping Data'!F2:F32, "Unknown", 'Sleeping Data'!C2:C32)</f>
        <v>0.715</v>
      </c>
      <c r="G9" s="10">
        <v>42008.89912037037</v>
      </c>
      <c r="H9" s="11">
        <v>0.78</v>
      </c>
      <c r="J9" s="9">
        <v>0.78</v>
      </c>
      <c r="K9" s="12">
        <v>0.30416666666666664</v>
      </c>
      <c r="L9" s="13">
        <f t="shared" si="1"/>
        <v>7.3</v>
      </c>
    </row>
    <row r="10">
      <c r="G10" s="10">
        <v>42009.897511574076</v>
      </c>
      <c r="H10" s="11">
        <v>0.69</v>
      </c>
      <c r="J10" s="9">
        <v>0.69</v>
      </c>
      <c r="K10" s="12">
        <v>0.3104166666666667</v>
      </c>
      <c r="L10" s="13">
        <f t="shared" si="1"/>
        <v>7.45</v>
      </c>
    </row>
    <row r="11">
      <c r="G11" s="10">
        <v>42010.89231481482</v>
      </c>
      <c r="H11" s="11">
        <v>0.74</v>
      </c>
      <c r="J11" s="9">
        <v>0.74</v>
      </c>
      <c r="K11" s="12">
        <v>0.3159722222222222</v>
      </c>
      <c r="L11" s="13">
        <f t="shared" si="1"/>
        <v>7.583333333</v>
      </c>
    </row>
    <row r="12">
      <c r="G12" s="10">
        <v>42011.874976851854</v>
      </c>
      <c r="H12" s="11">
        <v>0.81</v>
      </c>
      <c r="J12" s="9">
        <v>0.81</v>
      </c>
      <c r="K12" s="12">
        <v>0.38819444444444445</v>
      </c>
      <c r="L12" s="13">
        <f t="shared" si="1"/>
        <v>9.316666667</v>
      </c>
    </row>
    <row r="13">
      <c r="G13" s="10">
        <v>42012.95715277778</v>
      </c>
      <c r="H13" s="11">
        <v>0.88</v>
      </c>
      <c r="J13" s="9">
        <v>0.88</v>
      </c>
      <c r="K13" s="12">
        <v>0.30277777777777776</v>
      </c>
      <c r="L13" s="13">
        <f t="shared" si="1"/>
        <v>7.266666667</v>
      </c>
    </row>
    <row r="14">
      <c r="G14" s="10">
        <v>42013.93608796296</v>
      </c>
      <c r="H14" s="11">
        <v>0.77</v>
      </c>
      <c r="J14" s="9">
        <v>0.77</v>
      </c>
      <c r="K14" s="12">
        <v>0.37569444444444444</v>
      </c>
      <c r="L14" s="13">
        <f t="shared" si="1"/>
        <v>9.016666667</v>
      </c>
    </row>
    <row r="15">
      <c r="G15" s="10">
        <v>42014.943333333336</v>
      </c>
      <c r="H15" s="11">
        <v>0.89</v>
      </c>
      <c r="J15" s="9">
        <v>0.89</v>
      </c>
      <c r="K15" s="12">
        <v>0.3680555555555556</v>
      </c>
      <c r="L15" s="13">
        <f t="shared" si="1"/>
        <v>8.833333333</v>
      </c>
    </row>
    <row r="16">
      <c r="G16" s="10">
        <v>42015.92508101852</v>
      </c>
      <c r="H16" s="11">
        <v>0.78</v>
      </c>
      <c r="J16" s="9">
        <v>0.78</v>
      </c>
      <c r="K16" s="12">
        <v>0.3388888888888889</v>
      </c>
      <c r="L16" s="13">
        <f t="shared" si="1"/>
        <v>8.133333333</v>
      </c>
    </row>
    <row r="17">
      <c r="G17" s="10">
        <v>42016.876226851855</v>
      </c>
      <c r="H17" s="11">
        <v>1.0</v>
      </c>
      <c r="J17" s="9">
        <v>1.0</v>
      </c>
      <c r="K17" s="12">
        <v>0.38263888888888886</v>
      </c>
      <c r="L17" s="13">
        <f t="shared" si="1"/>
        <v>9.183333333</v>
      </c>
    </row>
    <row r="18">
      <c r="G18" s="10">
        <v>42017.926724537036</v>
      </c>
      <c r="H18" s="11">
        <v>1.0</v>
      </c>
      <c r="J18" s="9">
        <v>1.0</v>
      </c>
      <c r="K18" s="12">
        <v>0.3375</v>
      </c>
      <c r="L18" s="13">
        <f t="shared" si="1"/>
        <v>8.1</v>
      </c>
    </row>
    <row r="19">
      <c r="G19" s="10">
        <v>42018.908634259256</v>
      </c>
      <c r="H19" s="11">
        <v>0.88</v>
      </c>
      <c r="J19" s="9">
        <v>0.88</v>
      </c>
      <c r="K19" s="12">
        <v>0.30069444444444443</v>
      </c>
      <c r="L19" s="13">
        <f t="shared" si="1"/>
        <v>7.216666667</v>
      </c>
    </row>
    <row r="20">
      <c r="G20" s="10">
        <v>42019.89730324074</v>
      </c>
      <c r="H20" s="11">
        <v>0.87</v>
      </c>
      <c r="J20" s="9">
        <v>0.87</v>
      </c>
      <c r="K20" s="12">
        <v>0.30694444444444446</v>
      </c>
      <c r="L20" s="13">
        <f t="shared" si="1"/>
        <v>7.366666667</v>
      </c>
    </row>
    <row r="21">
      <c r="G21" s="10">
        <v>42021.091631944444</v>
      </c>
      <c r="H21" s="11">
        <v>0.83</v>
      </c>
      <c r="J21" s="9">
        <v>0.83</v>
      </c>
      <c r="K21" s="12">
        <v>0.28541666666666665</v>
      </c>
      <c r="L21" s="13">
        <f t="shared" si="1"/>
        <v>6.85</v>
      </c>
    </row>
    <row r="22">
      <c r="G22" s="10">
        <v>42021.996712962966</v>
      </c>
      <c r="H22" s="11">
        <v>0.93</v>
      </c>
      <c r="J22" s="9">
        <v>0.93</v>
      </c>
      <c r="K22" s="12">
        <v>0.32708333333333334</v>
      </c>
      <c r="L22" s="13">
        <f t="shared" si="1"/>
        <v>7.85</v>
      </c>
    </row>
    <row r="23">
      <c r="G23" s="10">
        <v>42022.91103009259</v>
      </c>
      <c r="H23" s="11">
        <v>0.58</v>
      </c>
      <c r="J23" s="9">
        <v>0.58</v>
      </c>
      <c r="K23" s="12">
        <v>0.3</v>
      </c>
      <c r="L23" s="13">
        <f t="shared" si="1"/>
        <v>7.2</v>
      </c>
    </row>
    <row r="24">
      <c r="G24" s="10">
        <v>42023.21293981482</v>
      </c>
      <c r="H24" s="11">
        <v>0.16</v>
      </c>
      <c r="J24" s="9">
        <v>0.16</v>
      </c>
      <c r="K24" s="12">
        <v>0.050694444444444445</v>
      </c>
      <c r="L24" s="13">
        <f t="shared" si="1"/>
        <v>1.216666667</v>
      </c>
    </row>
    <row r="25">
      <c r="G25" s="10">
        <v>42023.90646990741</v>
      </c>
      <c r="H25" s="11">
        <v>0.75</v>
      </c>
      <c r="J25" s="9">
        <v>0.75</v>
      </c>
      <c r="K25" s="12">
        <v>0.3333333333333333</v>
      </c>
      <c r="L25" s="13">
        <f t="shared" si="1"/>
        <v>8</v>
      </c>
    </row>
    <row r="26">
      <c r="G26" s="10">
        <v>42024.904594907406</v>
      </c>
      <c r="H26" s="11">
        <v>0.8</v>
      </c>
      <c r="J26" s="9">
        <v>0.8</v>
      </c>
      <c r="K26" s="12">
        <v>0.3347222222222222</v>
      </c>
      <c r="L26" s="13">
        <f t="shared" si="1"/>
        <v>8.033333333</v>
      </c>
    </row>
    <row r="27">
      <c r="G27" s="10">
        <v>42025.94068287037</v>
      </c>
      <c r="H27" s="11">
        <v>0.87</v>
      </c>
      <c r="J27" s="9">
        <v>0.87</v>
      </c>
      <c r="K27" s="12">
        <v>0.32083333333333336</v>
      </c>
      <c r="L27" s="13">
        <f t="shared" si="1"/>
        <v>7.7</v>
      </c>
    </row>
    <row r="28">
      <c r="G28" s="10">
        <v>42029.87155092593</v>
      </c>
      <c r="H28" s="11">
        <v>0.87</v>
      </c>
      <c r="J28" s="9">
        <v>0.87</v>
      </c>
      <c r="K28" s="12">
        <v>0.38819444444444445</v>
      </c>
      <c r="L28" s="13">
        <f t="shared" si="1"/>
        <v>9.316666667</v>
      </c>
    </row>
    <row r="29">
      <c r="G29" s="10">
        <v>42030.94190972222</v>
      </c>
      <c r="H29" s="11">
        <v>0.83</v>
      </c>
      <c r="J29" s="9">
        <v>0.83</v>
      </c>
      <c r="K29" s="12">
        <v>0.3159722222222222</v>
      </c>
      <c r="L29" s="13">
        <f t="shared" si="1"/>
        <v>7.583333333</v>
      </c>
    </row>
    <row r="30">
      <c r="G30" s="10">
        <v>42032.9050462963</v>
      </c>
      <c r="H30" s="11">
        <v>0.76</v>
      </c>
      <c r="J30" s="9">
        <v>0.76</v>
      </c>
      <c r="K30" s="12">
        <v>0.3173611111111111</v>
      </c>
      <c r="L30" s="13">
        <f t="shared" si="1"/>
        <v>7.616666667</v>
      </c>
    </row>
    <row r="31">
      <c r="G31" s="10">
        <v>42033.93310185185</v>
      </c>
      <c r="H31" s="11">
        <v>0.67</v>
      </c>
      <c r="J31" s="9">
        <v>0.67</v>
      </c>
      <c r="K31" s="12">
        <v>0.2951388888888889</v>
      </c>
      <c r="L31" s="13">
        <f t="shared" si="1"/>
        <v>7.083333333</v>
      </c>
    </row>
    <row r="32">
      <c r="G32" s="10">
        <v>42035.009560185186</v>
      </c>
      <c r="H32" s="11">
        <v>0.93</v>
      </c>
      <c r="J32" s="9">
        <v>0.93</v>
      </c>
      <c r="K32" s="12">
        <v>0.33541666666666664</v>
      </c>
      <c r="L32" s="13">
        <f t="shared" si="1"/>
        <v>8.05</v>
      </c>
    </row>
    <row r="33">
      <c r="G33" s="16"/>
      <c r="H33" s="17"/>
      <c r="L33" s="13"/>
    </row>
    <row r="34">
      <c r="G34" s="16"/>
      <c r="H34" s="17"/>
      <c r="L34" s="13"/>
    </row>
    <row r="35">
      <c r="G35" s="16"/>
      <c r="H35" s="17"/>
      <c r="L35" s="13"/>
    </row>
    <row r="36">
      <c r="G36" s="16"/>
      <c r="H36" s="17"/>
      <c r="L36" s="13"/>
    </row>
    <row r="37">
      <c r="G37" s="16"/>
      <c r="H37" s="17"/>
      <c r="L37" s="13"/>
    </row>
    <row r="38">
      <c r="G38" s="16"/>
      <c r="H38" s="17"/>
      <c r="L38" s="13"/>
    </row>
    <row r="39">
      <c r="G39" s="16"/>
      <c r="H39" s="17"/>
      <c r="L39" s="13"/>
    </row>
    <row r="40">
      <c r="G40" s="16"/>
      <c r="H40" s="17"/>
      <c r="L40" s="13"/>
    </row>
    <row r="41">
      <c r="G41" s="16"/>
      <c r="H41" s="17"/>
      <c r="L41" s="13"/>
    </row>
    <row r="42">
      <c r="G42" s="16"/>
      <c r="H42" s="17"/>
      <c r="L42" s="13"/>
    </row>
    <row r="43">
      <c r="G43" s="16"/>
      <c r="H43" s="17"/>
      <c r="L43" s="13"/>
    </row>
    <row r="44">
      <c r="G44" s="16"/>
      <c r="H44" s="17"/>
      <c r="L44" s="13"/>
    </row>
    <row r="45">
      <c r="G45" s="16"/>
      <c r="H45" s="17"/>
      <c r="L45" s="13"/>
    </row>
    <row r="46">
      <c r="G46" s="16"/>
      <c r="H46" s="17"/>
      <c r="L46" s="13"/>
    </row>
    <row r="47">
      <c r="G47" s="16"/>
      <c r="H47" s="17"/>
      <c r="L47" s="13"/>
    </row>
    <row r="48">
      <c r="G48" s="16"/>
      <c r="H48" s="17"/>
      <c r="L48" s="13"/>
    </row>
    <row r="49">
      <c r="G49" s="16"/>
      <c r="H49" s="17"/>
      <c r="L49" s="13"/>
    </row>
    <row r="50">
      <c r="G50" s="16"/>
      <c r="H50" s="17"/>
      <c r="L50" s="13"/>
    </row>
    <row r="51">
      <c r="G51" s="16"/>
      <c r="H51" s="17"/>
      <c r="L51" s="13"/>
    </row>
    <row r="52">
      <c r="G52" s="16"/>
      <c r="H52" s="17"/>
      <c r="L52" s="13"/>
    </row>
    <row r="53">
      <c r="G53" s="16"/>
      <c r="H53" s="17"/>
      <c r="L53" s="13"/>
    </row>
    <row r="54">
      <c r="G54" s="16"/>
      <c r="H54" s="17"/>
      <c r="L54" s="13"/>
    </row>
    <row r="55">
      <c r="G55" s="16"/>
      <c r="H55" s="17"/>
      <c r="L55" s="13"/>
    </row>
    <row r="56">
      <c r="G56" s="16"/>
      <c r="H56" s="17"/>
      <c r="L56" s="13"/>
    </row>
    <row r="57">
      <c r="G57" s="16"/>
      <c r="H57" s="17"/>
      <c r="L57" s="13"/>
    </row>
    <row r="58">
      <c r="G58" s="16"/>
      <c r="H58" s="17"/>
      <c r="L58" s="13"/>
    </row>
    <row r="59">
      <c r="G59" s="16"/>
      <c r="H59" s="17"/>
      <c r="L59" s="13"/>
    </row>
    <row r="60">
      <c r="G60" s="16"/>
      <c r="H60" s="17"/>
      <c r="L60" s="13"/>
    </row>
    <row r="61">
      <c r="G61" s="16"/>
      <c r="H61" s="17"/>
      <c r="L61" s="13"/>
    </row>
    <row r="62">
      <c r="G62" s="16"/>
      <c r="H62" s="17"/>
      <c r="L62" s="13"/>
    </row>
    <row r="63">
      <c r="G63" s="16"/>
      <c r="H63" s="17"/>
      <c r="L63" s="13"/>
    </row>
    <row r="64">
      <c r="G64" s="16"/>
      <c r="H64" s="17"/>
      <c r="L64" s="13"/>
    </row>
    <row r="65">
      <c r="G65" s="16"/>
      <c r="H65" s="17"/>
      <c r="L65" s="13"/>
    </row>
    <row r="66">
      <c r="G66" s="16"/>
      <c r="H66" s="17"/>
      <c r="L66" s="13"/>
    </row>
    <row r="67">
      <c r="G67" s="16"/>
      <c r="H67" s="17"/>
      <c r="L67" s="13"/>
    </row>
    <row r="68">
      <c r="G68" s="16"/>
      <c r="H68" s="17"/>
      <c r="L68" s="13"/>
    </row>
    <row r="69">
      <c r="G69" s="16"/>
      <c r="H69" s="17"/>
      <c r="L69" s="13"/>
    </row>
    <row r="70">
      <c r="G70" s="16"/>
      <c r="H70" s="17"/>
      <c r="L70" s="13"/>
    </row>
    <row r="71">
      <c r="G71" s="16"/>
      <c r="H71" s="17"/>
      <c r="L71" s="13"/>
    </row>
    <row r="72">
      <c r="G72" s="16"/>
      <c r="H72" s="17"/>
      <c r="L72" s="13"/>
    </row>
    <row r="73">
      <c r="G73" s="16"/>
      <c r="H73" s="17"/>
      <c r="L73" s="13"/>
    </row>
    <row r="74">
      <c r="G74" s="16"/>
      <c r="H74" s="17"/>
      <c r="L74" s="13"/>
    </row>
    <row r="75">
      <c r="G75" s="16"/>
      <c r="H75" s="17"/>
      <c r="L75" s="13"/>
    </row>
    <row r="76">
      <c r="G76" s="16"/>
      <c r="H76" s="17"/>
      <c r="L76" s="13"/>
    </row>
    <row r="77">
      <c r="G77" s="16"/>
      <c r="H77" s="17"/>
      <c r="L77" s="13"/>
    </row>
    <row r="78">
      <c r="G78" s="16"/>
      <c r="H78" s="17"/>
      <c r="L78" s="13"/>
    </row>
    <row r="79">
      <c r="G79" s="16"/>
      <c r="H79" s="17"/>
      <c r="L79" s="13"/>
    </row>
    <row r="80">
      <c r="G80" s="16"/>
      <c r="H80" s="17"/>
      <c r="L80" s="13"/>
    </row>
    <row r="81">
      <c r="G81" s="16"/>
      <c r="H81" s="17"/>
      <c r="L81" s="13"/>
    </row>
    <row r="82">
      <c r="G82" s="16"/>
      <c r="H82" s="17"/>
      <c r="L82" s="13"/>
    </row>
    <row r="83">
      <c r="G83" s="16"/>
      <c r="H83" s="17"/>
      <c r="L83" s="13"/>
    </row>
    <row r="84">
      <c r="G84" s="16"/>
      <c r="H84" s="17"/>
      <c r="L84" s="13"/>
    </row>
    <row r="85">
      <c r="G85" s="16"/>
      <c r="H85" s="17"/>
      <c r="L85" s="13"/>
    </row>
    <row r="86">
      <c r="G86" s="16"/>
      <c r="H86" s="17"/>
      <c r="L86" s="13"/>
    </row>
    <row r="87">
      <c r="G87" s="16"/>
      <c r="H87" s="17"/>
      <c r="L87" s="13"/>
    </row>
    <row r="88">
      <c r="G88" s="16"/>
      <c r="H88" s="17"/>
      <c r="L88" s="13"/>
    </row>
    <row r="89">
      <c r="G89" s="16"/>
      <c r="H89" s="17"/>
      <c r="L89" s="13"/>
    </row>
    <row r="90">
      <c r="G90" s="16"/>
      <c r="H90" s="17"/>
      <c r="L90" s="13"/>
    </row>
    <row r="91">
      <c r="G91" s="16"/>
      <c r="H91" s="17"/>
      <c r="L91" s="13"/>
    </row>
    <row r="92">
      <c r="G92" s="16"/>
      <c r="H92" s="17"/>
      <c r="L92" s="13"/>
    </row>
    <row r="93">
      <c r="G93" s="16"/>
      <c r="H93" s="17"/>
      <c r="L93" s="13"/>
    </row>
    <row r="94">
      <c r="G94" s="16"/>
      <c r="H94" s="17"/>
      <c r="L94" s="13"/>
    </row>
    <row r="95">
      <c r="G95" s="16"/>
      <c r="H95" s="17"/>
      <c r="L95" s="13"/>
    </row>
    <row r="96">
      <c r="G96" s="16"/>
      <c r="H96" s="17"/>
      <c r="L96" s="13"/>
    </row>
    <row r="97">
      <c r="G97" s="16"/>
      <c r="H97" s="17"/>
      <c r="L97" s="13"/>
    </row>
    <row r="98">
      <c r="G98" s="16"/>
      <c r="H98" s="17"/>
      <c r="L98" s="13"/>
    </row>
    <row r="99">
      <c r="G99" s="16"/>
      <c r="H99" s="17"/>
      <c r="L99" s="13"/>
    </row>
    <row r="100">
      <c r="G100" s="16"/>
      <c r="H100" s="17"/>
      <c r="L100" s="13"/>
    </row>
    <row r="101">
      <c r="G101" s="16"/>
      <c r="H101" s="17"/>
      <c r="L101" s="13"/>
    </row>
    <row r="102">
      <c r="G102" s="16"/>
      <c r="H102" s="17"/>
      <c r="L102" s="13"/>
    </row>
    <row r="103">
      <c r="G103" s="16"/>
      <c r="H103" s="17"/>
      <c r="L103" s="13"/>
    </row>
    <row r="104">
      <c r="G104" s="16"/>
      <c r="H104" s="17"/>
      <c r="L104" s="13"/>
    </row>
    <row r="105">
      <c r="G105" s="16"/>
      <c r="H105" s="17"/>
      <c r="L105" s="13"/>
    </row>
    <row r="106">
      <c r="G106" s="16"/>
      <c r="H106" s="17"/>
      <c r="L106" s="13"/>
    </row>
    <row r="107">
      <c r="G107" s="16"/>
      <c r="H107" s="17"/>
      <c r="L107" s="13"/>
    </row>
    <row r="108">
      <c r="G108" s="16"/>
      <c r="H108" s="17"/>
      <c r="L108" s="13"/>
    </row>
    <row r="109">
      <c r="G109" s="16"/>
      <c r="H109" s="17"/>
      <c r="L109" s="13"/>
    </row>
    <row r="110">
      <c r="G110" s="16"/>
      <c r="H110" s="17"/>
      <c r="L110" s="13"/>
    </row>
    <row r="111">
      <c r="G111" s="16"/>
      <c r="H111" s="17"/>
      <c r="L111" s="13"/>
    </row>
    <row r="112">
      <c r="G112" s="16"/>
      <c r="H112" s="17"/>
      <c r="L112" s="13"/>
    </row>
    <row r="113">
      <c r="G113" s="16"/>
      <c r="H113" s="17"/>
      <c r="L113" s="13"/>
    </row>
    <row r="114">
      <c r="G114" s="16"/>
      <c r="H114" s="17"/>
      <c r="L114" s="13"/>
    </row>
    <row r="115">
      <c r="G115" s="16"/>
      <c r="H115" s="17"/>
      <c r="L115" s="13"/>
    </row>
    <row r="116">
      <c r="G116" s="16"/>
      <c r="H116" s="17"/>
      <c r="L116" s="13"/>
    </row>
    <row r="117">
      <c r="G117" s="16"/>
      <c r="H117" s="17"/>
      <c r="L117" s="13"/>
    </row>
    <row r="118">
      <c r="G118" s="16"/>
      <c r="H118" s="17"/>
      <c r="L118" s="13"/>
    </row>
    <row r="119">
      <c r="G119" s="16"/>
      <c r="H119" s="17"/>
      <c r="L119" s="13"/>
    </row>
    <row r="120">
      <c r="G120" s="16"/>
      <c r="H120" s="17"/>
      <c r="L120" s="13"/>
    </row>
    <row r="121">
      <c r="G121" s="16"/>
      <c r="H121" s="17"/>
      <c r="L121" s="13"/>
    </row>
    <row r="122">
      <c r="G122" s="16"/>
      <c r="H122" s="17"/>
      <c r="L122" s="13"/>
    </row>
    <row r="123">
      <c r="G123" s="16"/>
      <c r="H123" s="17"/>
      <c r="L123" s="13"/>
    </row>
    <row r="124">
      <c r="G124" s="16"/>
      <c r="H124" s="17"/>
      <c r="L124" s="13"/>
    </row>
    <row r="125">
      <c r="G125" s="16"/>
      <c r="H125" s="17"/>
      <c r="L125" s="13"/>
    </row>
    <row r="126">
      <c r="G126" s="16"/>
      <c r="H126" s="17"/>
      <c r="L126" s="13"/>
    </row>
    <row r="127">
      <c r="G127" s="16"/>
      <c r="H127" s="17"/>
      <c r="L127" s="13"/>
    </row>
    <row r="128">
      <c r="G128" s="16"/>
      <c r="H128" s="17"/>
      <c r="L128" s="13"/>
    </row>
    <row r="129">
      <c r="G129" s="16"/>
      <c r="H129" s="17"/>
      <c r="L129" s="13"/>
    </row>
    <row r="130">
      <c r="G130" s="16"/>
      <c r="H130" s="17"/>
      <c r="L130" s="13"/>
    </row>
    <row r="131">
      <c r="G131" s="16"/>
      <c r="H131" s="17"/>
      <c r="L131" s="13"/>
    </row>
    <row r="132">
      <c r="G132" s="16"/>
      <c r="H132" s="17"/>
      <c r="L132" s="13"/>
    </row>
    <row r="133">
      <c r="G133" s="16"/>
      <c r="H133" s="17"/>
      <c r="L133" s="13"/>
    </row>
    <row r="134">
      <c r="G134" s="16"/>
      <c r="H134" s="17"/>
      <c r="L134" s="13"/>
    </row>
    <row r="135">
      <c r="G135" s="16"/>
      <c r="H135" s="17"/>
      <c r="L135" s="13"/>
    </row>
    <row r="136">
      <c r="G136" s="16"/>
      <c r="H136" s="17"/>
      <c r="L136" s="13"/>
    </row>
    <row r="137">
      <c r="G137" s="16"/>
      <c r="H137" s="17"/>
      <c r="L137" s="13"/>
    </row>
    <row r="138">
      <c r="G138" s="16"/>
      <c r="H138" s="17"/>
      <c r="L138" s="13"/>
    </row>
    <row r="139">
      <c r="G139" s="16"/>
      <c r="H139" s="17"/>
      <c r="L139" s="13"/>
    </row>
    <row r="140">
      <c r="G140" s="16"/>
      <c r="H140" s="17"/>
      <c r="L140" s="13"/>
    </row>
    <row r="141">
      <c r="G141" s="16"/>
      <c r="H141" s="17"/>
      <c r="L141" s="13"/>
    </row>
    <row r="142">
      <c r="G142" s="16"/>
      <c r="H142" s="17"/>
      <c r="L142" s="13"/>
    </row>
    <row r="143">
      <c r="G143" s="16"/>
      <c r="H143" s="17"/>
      <c r="L143" s="13"/>
    </row>
    <row r="144">
      <c r="G144" s="16"/>
      <c r="H144" s="17"/>
      <c r="L144" s="13"/>
    </row>
    <row r="145">
      <c r="G145" s="16"/>
      <c r="H145" s="17"/>
      <c r="L145" s="13"/>
    </row>
    <row r="146">
      <c r="G146" s="16"/>
      <c r="H146" s="17"/>
      <c r="L146" s="13"/>
    </row>
    <row r="147">
      <c r="G147" s="16"/>
      <c r="H147" s="17"/>
      <c r="L147" s="13"/>
    </row>
    <row r="148">
      <c r="G148" s="16"/>
      <c r="H148" s="17"/>
      <c r="L148" s="13"/>
    </row>
    <row r="149">
      <c r="G149" s="16"/>
      <c r="H149" s="17"/>
      <c r="L149" s="13"/>
    </row>
    <row r="150">
      <c r="G150" s="16"/>
      <c r="H150" s="17"/>
      <c r="L150" s="13"/>
    </row>
    <row r="151">
      <c r="G151" s="16"/>
      <c r="H151" s="17"/>
      <c r="L151" s="13"/>
    </row>
    <row r="152">
      <c r="G152" s="16"/>
      <c r="H152" s="17"/>
      <c r="L152" s="13"/>
    </row>
    <row r="153">
      <c r="G153" s="16"/>
      <c r="H153" s="17"/>
      <c r="L153" s="13"/>
    </row>
    <row r="154">
      <c r="G154" s="16"/>
      <c r="H154" s="17"/>
      <c r="L154" s="13"/>
    </row>
    <row r="155">
      <c r="G155" s="16"/>
      <c r="H155" s="17"/>
      <c r="L155" s="13"/>
    </row>
    <row r="156">
      <c r="G156" s="16"/>
      <c r="H156" s="17"/>
      <c r="L156" s="13"/>
    </row>
    <row r="157">
      <c r="G157" s="16"/>
      <c r="H157" s="17"/>
      <c r="L157" s="13"/>
    </row>
    <row r="158">
      <c r="G158" s="16"/>
      <c r="H158" s="17"/>
      <c r="L158" s="13"/>
    </row>
    <row r="159">
      <c r="G159" s="16"/>
      <c r="H159" s="17"/>
      <c r="L159" s="13"/>
    </row>
    <row r="160">
      <c r="G160" s="16"/>
      <c r="H160" s="17"/>
      <c r="L160" s="13"/>
    </row>
    <row r="161">
      <c r="G161" s="16"/>
      <c r="H161" s="17"/>
      <c r="L161" s="13"/>
    </row>
    <row r="162">
      <c r="G162" s="16"/>
      <c r="H162" s="17"/>
      <c r="L162" s="13"/>
    </row>
    <row r="163">
      <c r="G163" s="16"/>
      <c r="H163" s="17"/>
      <c r="L163" s="13"/>
    </row>
    <row r="164">
      <c r="G164" s="16"/>
      <c r="H164" s="17"/>
      <c r="L164" s="13"/>
    </row>
    <row r="165">
      <c r="G165" s="16"/>
      <c r="H165" s="17"/>
      <c r="L165" s="13"/>
    </row>
    <row r="166">
      <c r="G166" s="16"/>
      <c r="H166" s="17"/>
      <c r="L166" s="13"/>
    </row>
    <row r="167">
      <c r="G167" s="16"/>
      <c r="H167" s="17"/>
      <c r="L167" s="13"/>
    </row>
    <row r="168">
      <c r="G168" s="16"/>
      <c r="H168" s="17"/>
      <c r="L168" s="13"/>
    </row>
    <row r="169">
      <c r="G169" s="16"/>
      <c r="H169" s="17"/>
      <c r="L169" s="13"/>
    </row>
    <row r="170">
      <c r="G170" s="16"/>
      <c r="H170" s="17"/>
      <c r="L170" s="13"/>
    </row>
    <row r="171">
      <c r="G171" s="16"/>
      <c r="H171" s="17"/>
      <c r="L171" s="13"/>
    </row>
    <row r="172">
      <c r="G172" s="16"/>
      <c r="H172" s="17"/>
      <c r="L172" s="13"/>
    </row>
    <row r="173">
      <c r="G173" s="16"/>
      <c r="H173" s="17"/>
      <c r="L173" s="13"/>
    </row>
    <row r="174">
      <c r="G174" s="16"/>
      <c r="H174" s="17"/>
      <c r="L174" s="13"/>
    </row>
    <row r="175">
      <c r="G175" s="16"/>
      <c r="H175" s="17"/>
      <c r="L175" s="13"/>
    </row>
    <row r="176">
      <c r="G176" s="16"/>
      <c r="H176" s="17"/>
      <c r="L176" s="13"/>
    </row>
    <row r="177">
      <c r="G177" s="16"/>
      <c r="H177" s="17"/>
      <c r="L177" s="13"/>
    </row>
    <row r="178">
      <c r="G178" s="16"/>
      <c r="H178" s="17"/>
      <c r="L178" s="13"/>
    </row>
    <row r="179">
      <c r="G179" s="16"/>
      <c r="H179" s="17"/>
      <c r="L179" s="13"/>
    </row>
    <row r="180">
      <c r="G180" s="16"/>
      <c r="H180" s="17"/>
      <c r="L180" s="13"/>
    </row>
    <row r="181">
      <c r="G181" s="16"/>
      <c r="H181" s="17"/>
      <c r="L181" s="13"/>
    </row>
    <row r="182">
      <c r="G182" s="16"/>
      <c r="H182" s="17"/>
      <c r="L182" s="13"/>
    </row>
    <row r="183">
      <c r="G183" s="16"/>
      <c r="H183" s="17"/>
      <c r="L183" s="13"/>
    </row>
    <row r="184">
      <c r="G184" s="16"/>
      <c r="H184" s="17"/>
      <c r="L184" s="13"/>
    </row>
    <row r="185">
      <c r="G185" s="16"/>
      <c r="H185" s="17"/>
      <c r="L185" s="13"/>
    </row>
    <row r="186">
      <c r="G186" s="16"/>
      <c r="H186" s="17"/>
      <c r="L186" s="13"/>
    </row>
    <row r="187">
      <c r="G187" s="16"/>
      <c r="H187" s="17"/>
      <c r="L187" s="13"/>
    </row>
    <row r="188">
      <c r="G188" s="16"/>
      <c r="H188" s="17"/>
      <c r="L188" s="13"/>
    </row>
    <row r="189">
      <c r="G189" s="16"/>
      <c r="H189" s="17"/>
      <c r="L189" s="13"/>
    </row>
    <row r="190">
      <c r="G190" s="16"/>
      <c r="H190" s="17"/>
      <c r="L190" s="13"/>
    </row>
    <row r="191">
      <c r="G191" s="16"/>
      <c r="H191" s="17"/>
      <c r="L191" s="13"/>
    </row>
    <row r="192">
      <c r="G192" s="16"/>
      <c r="H192" s="17"/>
      <c r="L192" s="13"/>
    </row>
    <row r="193">
      <c r="G193" s="16"/>
      <c r="H193" s="17"/>
      <c r="L193" s="13"/>
    </row>
    <row r="194">
      <c r="G194" s="16"/>
      <c r="H194" s="17"/>
      <c r="L194" s="13"/>
    </row>
    <row r="195">
      <c r="G195" s="16"/>
      <c r="H195" s="17"/>
      <c r="L195" s="13"/>
    </row>
    <row r="196">
      <c r="G196" s="16"/>
      <c r="H196" s="17"/>
      <c r="L196" s="13"/>
    </row>
    <row r="197">
      <c r="G197" s="16"/>
      <c r="H197" s="17"/>
      <c r="L197" s="13"/>
    </row>
    <row r="198">
      <c r="G198" s="16"/>
      <c r="H198" s="17"/>
      <c r="L198" s="13"/>
    </row>
    <row r="199">
      <c r="G199" s="16"/>
      <c r="H199" s="17"/>
      <c r="L199" s="13"/>
    </row>
    <row r="200">
      <c r="G200" s="16"/>
      <c r="H200" s="17"/>
      <c r="L200" s="13"/>
    </row>
    <row r="201">
      <c r="G201" s="16"/>
      <c r="H201" s="17"/>
      <c r="L201" s="13"/>
    </row>
    <row r="202">
      <c r="G202" s="16"/>
      <c r="H202" s="17"/>
      <c r="L202" s="13"/>
    </row>
    <row r="203">
      <c r="G203" s="16"/>
      <c r="H203" s="17"/>
      <c r="L203" s="13"/>
    </row>
    <row r="204">
      <c r="G204" s="16"/>
      <c r="H204" s="17"/>
      <c r="L204" s="13"/>
    </row>
    <row r="205">
      <c r="G205" s="16"/>
      <c r="H205" s="17"/>
      <c r="L205" s="13"/>
    </row>
    <row r="206">
      <c r="G206" s="16"/>
      <c r="H206" s="17"/>
      <c r="L206" s="13"/>
    </row>
    <row r="207">
      <c r="G207" s="16"/>
      <c r="H207" s="17"/>
      <c r="L207" s="13"/>
    </row>
    <row r="208">
      <c r="G208" s="16"/>
      <c r="H208" s="17"/>
      <c r="L208" s="13"/>
    </row>
    <row r="209">
      <c r="G209" s="16"/>
      <c r="H209" s="17"/>
      <c r="L209" s="13"/>
    </row>
    <row r="210">
      <c r="G210" s="16"/>
      <c r="H210" s="17"/>
      <c r="L210" s="13"/>
    </row>
    <row r="211">
      <c r="G211" s="16"/>
      <c r="H211" s="17"/>
      <c r="L211" s="13"/>
    </row>
    <row r="212">
      <c r="G212" s="16"/>
      <c r="H212" s="17"/>
      <c r="L212" s="13"/>
    </row>
    <row r="213">
      <c r="G213" s="16"/>
      <c r="H213" s="17"/>
      <c r="L213" s="13"/>
    </row>
    <row r="214">
      <c r="G214" s="16"/>
      <c r="H214" s="17"/>
      <c r="L214" s="13"/>
    </row>
    <row r="215">
      <c r="G215" s="16"/>
      <c r="H215" s="17"/>
      <c r="L215" s="13"/>
    </row>
    <row r="216">
      <c r="G216" s="16"/>
      <c r="H216" s="17"/>
      <c r="L216" s="13"/>
    </row>
    <row r="217">
      <c r="G217" s="16"/>
      <c r="H217" s="17"/>
      <c r="L217" s="13"/>
    </row>
    <row r="218">
      <c r="G218" s="16"/>
      <c r="H218" s="17"/>
      <c r="L218" s="13"/>
    </row>
    <row r="219">
      <c r="G219" s="16"/>
      <c r="H219" s="17"/>
      <c r="L219" s="13"/>
    </row>
    <row r="220">
      <c r="G220" s="16"/>
      <c r="H220" s="17"/>
      <c r="L220" s="13"/>
    </row>
    <row r="221">
      <c r="G221" s="16"/>
      <c r="H221" s="17"/>
      <c r="L221" s="13"/>
    </row>
    <row r="222">
      <c r="G222" s="16"/>
      <c r="H222" s="17"/>
      <c r="L222" s="13"/>
    </row>
    <row r="223">
      <c r="G223" s="16"/>
      <c r="H223" s="17"/>
      <c r="L223" s="13"/>
    </row>
    <row r="224">
      <c r="G224" s="16"/>
      <c r="H224" s="17"/>
      <c r="L224" s="13"/>
    </row>
    <row r="225">
      <c r="G225" s="16"/>
      <c r="H225" s="17"/>
      <c r="L225" s="13"/>
    </row>
    <row r="226">
      <c r="G226" s="16"/>
      <c r="H226" s="17"/>
      <c r="L226" s="13"/>
    </row>
    <row r="227">
      <c r="G227" s="16"/>
      <c r="H227" s="17"/>
      <c r="L227" s="13"/>
    </row>
    <row r="228">
      <c r="G228" s="16"/>
      <c r="H228" s="17"/>
      <c r="L228" s="13"/>
    </row>
    <row r="229">
      <c r="G229" s="16"/>
      <c r="H229" s="17"/>
      <c r="L229" s="13"/>
    </row>
    <row r="230">
      <c r="G230" s="16"/>
      <c r="H230" s="17"/>
      <c r="L230" s="13"/>
    </row>
    <row r="231">
      <c r="G231" s="16"/>
      <c r="H231" s="17"/>
      <c r="L231" s="13"/>
    </row>
    <row r="232">
      <c r="G232" s="16"/>
      <c r="H232" s="17"/>
      <c r="L232" s="13"/>
    </row>
    <row r="233">
      <c r="G233" s="16"/>
      <c r="H233" s="17"/>
      <c r="L233" s="13"/>
    </row>
    <row r="234">
      <c r="G234" s="16"/>
      <c r="H234" s="17"/>
      <c r="L234" s="13"/>
    </row>
    <row r="235">
      <c r="G235" s="16"/>
      <c r="H235" s="17"/>
      <c r="L235" s="13"/>
    </row>
    <row r="236">
      <c r="G236" s="16"/>
      <c r="H236" s="17"/>
      <c r="L236" s="13"/>
    </row>
    <row r="237">
      <c r="G237" s="16"/>
      <c r="H237" s="17"/>
      <c r="L237" s="13"/>
    </row>
    <row r="238">
      <c r="G238" s="16"/>
      <c r="H238" s="17"/>
      <c r="L238" s="13"/>
    </row>
    <row r="239">
      <c r="G239" s="16"/>
      <c r="H239" s="17"/>
      <c r="L239" s="13"/>
    </row>
    <row r="240">
      <c r="G240" s="16"/>
      <c r="H240" s="17"/>
      <c r="L240" s="13"/>
    </row>
    <row r="241">
      <c r="G241" s="16"/>
      <c r="H241" s="17"/>
      <c r="L241" s="13"/>
    </row>
    <row r="242">
      <c r="G242" s="16"/>
      <c r="H242" s="17"/>
      <c r="L242" s="13"/>
    </row>
    <row r="243">
      <c r="G243" s="16"/>
      <c r="H243" s="17"/>
      <c r="L243" s="13"/>
    </row>
    <row r="244">
      <c r="G244" s="16"/>
      <c r="H244" s="17"/>
      <c r="L244" s="13"/>
    </row>
    <row r="245">
      <c r="G245" s="16"/>
      <c r="H245" s="17"/>
      <c r="L245" s="13"/>
    </row>
    <row r="246">
      <c r="G246" s="16"/>
      <c r="H246" s="17"/>
      <c r="L246" s="13"/>
    </row>
    <row r="247">
      <c r="G247" s="16"/>
      <c r="H247" s="17"/>
      <c r="L247" s="13"/>
    </row>
    <row r="248">
      <c r="G248" s="16"/>
      <c r="H248" s="17"/>
      <c r="L248" s="13"/>
    </row>
    <row r="249">
      <c r="G249" s="16"/>
      <c r="H249" s="17"/>
      <c r="L249" s="13"/>
    </row>
    <row r="250">
      <c r="G250" s="16"/>
      <c r="H250" s="17"/>
      <c r="L250" s="13"/>
    </row>
    <row r="251">
      <c r="G251" s="16"/>
      <c r="H251" s="17"/>
      <c r="L251" s="13"/>
    </row>
    <row r="252">
      <c r="G252" s="16"/>
      <c r="H252" s="17"/>
      <c r="L252" s="13"/>
    </row>
    <row r="253">
      <c r="G253" s="16"/>
      <c r="H253" s="17"/>
      <c r="L253" s="13"/>
    </row>
    <row r="254">
      <c r="G254" s="16"/>
      <c r="H254" s="17"/>
      <c r="L254" s="13"/>
    </row>
    <row r="255">
      <c r="G255" s="16"/>
      <c r="H255" s="17"/>
      <c r="L255" s="13"/>
    </row>
    <row r="256">
      <c r="G256" s="16"/>
      <c r="H256" s="17"/>
      <c r="L256" s="13"/>
    </row>
    <row r="257">
      <c r="G257" s="16"/>
      <c r="H257" s="17"/>
      <c r="L257" s="13"/>
    </row>
    <row r="258">
      <c r="G258" s="16"/>
      <c r="H258" s="17"/>
      <c r="L258" s="13"/>
    </row>
    <row r="259">
      <c r="G259" s="16"/>
      <c r="H259" s="17"/>
      <c r="L259" s="13"/>
    </row>
    <row r="260">
      <c r="G260" s="16"/>
      <c r="H260" s="17"/>
      <c r="L260" s="13"/>
    </row>
    <row r="261">
      <c r="G261" s="16"/>
      <c r="H261" s="17"/>
      <c r="L261" s="13"/>
    </row>
    <row r="262">
      <c r="G262" s="16"/>
      <c r="H262" s="17"/>
      <c r="L262" s="13"/>
    </row>
    <row r="263">
      <c r="G263" s="16"/>
      <c r="H263" s="17"/>
      <c r="L263" s="13"/>
    </row>
    <row r="264">
      <c r="G264" s="16"/>
      <c r="H264" s="17"/>
      <c r="L264" s="13"/>
    </row>
    <row r="265">
      <c r="G265" s="16"/>
      <c r="H265" s="17"/>
      <c r="L265" s="13"/>
    </row>
    <row r="266">
      <c r="G266" s="16"/>
      <c r="H266" s="17"/>
      <c r="L266" s="13"/>
    </row>
    <row r="267">
      <c r="G267" s="16"/>
      <c r="H267" s="17"/>
      <c r="L267" s="13"/>
    </row>
    <row r="268">
      <c r="G268" s="16"/>
      <c r="H268" s="17"/>
      <c r="L268" s="13"/>
    </row>
    <row r="269">
      <c r="G269" s="16"/>
      <c r="H269" s="17"/>
      <c r="L269" s="13"/>
    </row>
    <row r="270">
      <c r="G270" s="16"/>
      <c r="H270" s="17"/>
      <c r="L270" s="13"/>
    </row>
    <row r="271">
      <c r="G271" s="16"/>
      <c r="H271" s="17"/>
      <c r="L271" s="13"/>
    </row>
    <row r="272">
      <c r="G272" s="16"/>
      <c r="H272" s="17"/>
      <c r="L272" s="13"/>
    </row>
    <row r="273">
      <c r="G273" s="16"/>
      <c r="H273" s="17"/>
      <c r="L273" s="13"/>
    </row>
    <row r="274">
      <c r="G274" s="16"/>
      <c r="H274" s="17"/>
      <c r="L274" s="13"/>
    </row>
    <row r="275">
      <c r="G275" s="16"/>
      <c r="H275" s="17"/>
      <c r="L275" s="13"/>
    </row>
    <row r="276">
      <c r="G276" s="16"/>
      <c r="H276" s="17"/>
      <c r="L276" s="13"/>
    </row>
    <row r="277">
      <c r="G277" s="16"/>
      <c r="H277" s="17"/>
      <c r="L277" s="13"/>
    </row>
    <row r="278">
      <c r="G278" s="16"/>
      <c r="H278" s="17"/>
      <c r="L278" s="13"/>
    </row>
    <row r="279">
      <c r="G279" s="16"/>
      <c r="H279" s="17"/>
      <c r="L279" s="13"/>
    </row>
    <row r="280">
      <c r="G280" s="16"/>
      <c r="H280" s="17"/>
      <c r="L280" s="13"/>
    </row>
    <row r="281">
      <c r="G281" s="16"/>
      <c r="H281" s="17"/>
      <c r="L281" s="13"/>
    </row>
    <row r="282">
      <c r="G282" s="16"/>
      <c r="H282" s="17"/>
      <c r="L282" s="13"/>
    </row>
    <row r="283">
      <c r="G283" s="16"/>
      <c r="H283" s="17"/>
      <c r="L283" s="13"/>
    </row>
    <row r="284">
      <c r="G284" s="16"/>
      <c r="H284" s="17"/>
      <c r="L284" s="13"/>
    </row>
    <row r="285">
      <c r="G285" s="16"/>
      <c r="H285" s="17"/>
      <c r="L285" s="13"/>
    </row>
    <row r="286">
      <c r="G286" s="16"/>
      <c r="H286" s="17"/>
      <c r="L286" s="13"/>
    </row>
    <row r="287">
      <c r="G287" s="16"/>
      <c r="H287" s="17"/>
      <c r="L287" s="13"/>
    </row>
    <row r="288">
      <c r="G288" s="16"/>
      <c r="H288" s="17"/>
      <c r="L288" s="13"/>
    </row>
    <row r="289">
      <c r="G289" s="16"/>
      <c r="H289" s="17"/>
      <c r="L289" s="13"/>
    </row>
    <row r="290">
      <c r="G290" s="16"/>
      <c r="H290" s="17"/>
      <c r="L290" s="13"/>
    </row>
    <row r="291">
      <c r="G291" s="16"/>
      <c r="H291" s="17"/>
      <c r="L291" s="13"/>
    </row>
    <row r="292">
      <c r="G292" s="16"/>
      <c r="H292" s="17"/>
      <c r="L292" s="13"/>
    </row>
    <row r="293">
      <c r="G293" s="16"/>
      <c r="H293" s="17"/>
      <c r="L293" s="13"/>
    </row>
    <row r="294">
      <c r="G294" s="16"/>
      <c r="H294" s="17"/>
      <c r="L294" s="13"/>
    </row>
    <row r="295">
      <c r="G295" s="16"/>
      <c r="H295" s="17"/>
      <c r="L295" s="13"/>
    </row>
    <row r="296">
      <c r="G296" s="16"/>
      <c r="H296" s="17"/>
      <c r="L296" s="13"/>
    </row>
    <row r="297">
      <c r="G297" s="16"/>
      <c r="H297" s="17"/>
      <c r="L297" s="13"/>
    </row>
    <row r="298">
      <c r="G298" s="16"/>
      <c r="H298" s="17"/>
      <c r="L298" s="13"/>
    </row>
    <row r="299">
      <c r="G299" s="16"/>
      <c r="H299" s="17"/>
      <c r="L299" s="13"/>
    </row>
    <row r="300">
      <c r="G300" s="16"/>
      <c r="H300" s="17"/>
      <c r="L300" s="13"/>
    </row>
    <row r="301">
      <c r="G301" s="16"/>
      <c r="H301" s="17"/>
      <c r="L301" s="13"/>
    </row>
    <row r="302">
      <c r="G302" s="16"/>
      <c r="H302" s="17"/>
      <c r="L302" s="13"/>
    </row>
    <row r="303">
      <c r="G303" s="16"/>
      <c r="H303" s="17"/>
      <c r="L303" s="13"/>
    </row>
    <row r="304">
      <c r="G304" s="16"/>
      <c r="H304" s="17"/>
      <c r="L304" s="13"/>
    </row>
    <row r="305">
      <c r="G305" s="16"/>
      <c r="H305" s="17"/>
      <c r="L305" s="13"/>
    </row>
    <row r="306">
      <c r="G306" s="16"/>
      <c r="H306" s="17"/>
      <c r="L306" s="13"/>
    </row>
    <row r="307">
      <c r="G307" s="16"/>
      <c r="H307" s="17"/>
      <c r="L307" s="13"/>
    </row>
    <row r="308">
      <c r="G308" s="16"/>
      <c r="H308" s="17"/>
      <c r="L308" s="13"/>
    </row>
    <row r="309">
      <c r="G309" s="16"/>
      <c r="H309" s="17"/>
      <c r="L309" s="13"/>
    </row>
    <row r="310">
      <c r="G310" s="16"/>
      <c r="H310" s="17"/>
      <c r="L310" s="13"/>
    </row>
    <row r="311">
      <c r="G311" s="16"/>
      <c r="H311" s="17"/>
      <c r="L311" s="13"/>
    </row>
    <row r="312">
      <c r="G312" s="16"/>
      <c r="H312" s="17"/>
      <c r="L312" s="13"/>
    </row>
    <row r="313">
      <c r="G313" s="16"/>
      <c r="H313" s="17"/>
      <c r="L313" s="13"/>
    </row>
    <row r="314">
      <c r="G314" s="16"/>
      <c r="H314" s="17"/>
      <c r="L314" s="13"/>
    </row>
    <row r="315">
      <c r="G315" s="16"/>
      <c r="H315" s="17"/>
      <c r="L315" s="13"/>
    </row>
    <row r="316">
      <c r="G316" s="16"/>
      <c r="H316" s="17"/>
      <c r="L316" s="13"/>
    </row>
    <row r="317">
      <c r="G317" s="16"/>
      <c r="H317" s="17"/>
      <c r="L317" s="13"/>
    </row>
    <row r="318">
      <c r="G318" s="16"/>
      <c r="H318" s="17"/>
      <c r="L318" s="13"/>
    </row>
    <row r="319">
      <c r="G319" s="16"/>
      <c r="H319" s="17"/>
      <c r="L319" s="13"/>
    </row>
    <row r="320">
      <c r="G320" s="16"/>
      <c r="H320" s="17"/>
      <c r="L320" s="13"/>
    </row>
    <row r="321">
      <c r="G321" s="16"/>
      <c r="H321" s="17"/>
      <c r="L321" s="13"/>
    </row>
    <row r="322">
      <c r="G322" s="16"/>
      <c r="H322" s="17"/>
      <c r="L322" s="13"/>
    </row>
    <row r="323">
      <c r="G323" s="16"/>
      <c r="H323" s="17"/>
      <c r="L323" s="13"/>
    </row>
    <row r="324">
      <c r="G324" s="16"/>
      <c r="H324" s="17"/>
      <c r="L324" s="13"/>
    </row>
    <row r="325">
      <c r="G325" s="16"/>
      <c r="H325" s="17"/>
      <c r="L325" s="13"/>
    </row>
    <row r="326">
      <c r="G326" s="16"/>
      <c r="H326" s="17"/>
      <c r="L326" s="13"/>
    </row>
    <row r="327">
      <c r="G327" s="16"/>
      <c r="H327" s="17"/>
      <c r="L327" s="13"/>
    </row>
    <row r="328">
      <c r="G328" s="16"/>
      <c r="H328" s="17"/>
      <c r="L328" s="13"/>
    </row>
    <row r="329">
      <c r="G329" s="16"/>
      <c r="H329" s="17"/>
      <c r="L329" s="13"/>
    </row>
    <row r="330">
      <c r="G330" s="16"/>
      <c r="H330" s="17"/>
      <c r="L330" s="13"/>
    </row>
    <row r="331">
      <c r="G331" s="16"/>
      <c r="H331" s="17"/>
      <c r="L331" s="13"/>
    </row>
    <row r="332">
      <c r="G332" s="16"/>
      <c r="H332" s="17"/>
      <c r="L332" s="13"/>
    </row>
    <row r="333">
      <c r="G333" s="16"/>
      <c r="H333" s="17"/>
      <c r="L333" s="13"/>
    </row>
    <row r="334">
      <c r="G334" s="16"/>
      <c r="H334" s="17"/>
      <c r="L334" s="13"/>
    </row>
    <row r="335">
      <c r="G335" s="16"/>
      <c r="H335" s="17"/>
      <c r="L335" s="13"/>
    </row>
    <row r="336">
      <c r="G336" s="16"/>
      <c r="H336" s="17"/>
      <c r="L336" s="13"/>
    </row>
    <row r="337">
      <c r="G337" s="16"/>
      <c r="H337" s="17"/>
      <c r="L337" s="13"/>
    </row>
    <row r="338">
      <c r="G338" s="16"/>
      <c r="H338" s="17"/>
      <c r="L338" s="13"/>
    </row>
    <row r="339">
      <c r="G339" s="16"/>
      <c r="H339" s="17"/>
      <c r="L339" s="13"/>
    </row>
    <row r="340">
      <c r="G340" s="16"/>
      <c r="H340" s="17"/>
      <c r="L340" s="13"/>
    </row>
    <row r="341">
      <c r="G341" s="16"/>
      <c r="H341" s="17"/>
      <c r="L341" s="13"/>
    </row>
    <row r="342">
      <c r="G342" s="16"/>
      <c r="H342" s="17"/>
      <c r="L342" s="13"/>
    </row>
    <row r="343">
      <c r="G343" s="16"/>
      <c r="H343" s="17"/>
      <c r="L343" s="13"/>
    </row>
    <row r="344">
      <c r="G344" s="16"/>
      <c r="H344" s="17"/>
      <c r="L344" s="13"/>
    </row>
    <row r="345">
      <c r="G345" s="16"/>
      <c r="H345" s="17"/>
      <c r="L345" s="13"/>
    </row>
    <row r="346">
      <c r="G346" s="16"/>
      <c r="H346" s="17"/>
      <c r="L346" s="13"/>
    </row>
    <row r="347">
      <c r="G347" s="16"/>
      <c r="H347" s="17"/>
      <c r="L347" s="13"/>
    </row>
    <row r="348">
      <c r="G348" s="16"/>
      <c r="H348" s="17"/>
      <c r="L348" s="13"/>
    </row>
    <row r="349">
      <c r="G349" s="16"/>
      <c r="H349" s="17"/>
      <c r="L349" s="13"/>
    </row>
    <row r="350">
      <c r="G350" s="16"/>
      <c r="H350" s="17"/>
      <c r="L350" s="13"/>
    </row>
    <row r="351">
      <c r="G351" s="16"/>
      <c r="H351" s="17"/>
      <c r="L351" s="13"/>
    </row>
    <row r="352">
      <c r="G352" s="16"/>
      <c r="H352" s="17"/>
      <c r="L352" s="13"/>
    </row>
    <row r="353">
      <c r="G353" s="16"/>
      <c r="H353" s="17"/>
      <c r="L353" s="13"/>
    </row>
    <row r="354">
      <c r="G354" s="16"/>
      <c r="H354" s="17"/>
      <c r="L354" s="13"/>
    </row>
    <row r="355">
      <c r="G355" s="16"/>
      <c r="H355" s="17"/>
      <c r="L355" s="13"/>
    </row>
    <row r="356">
      <c r="G356" s="16"/>
      <c r="H356" s="17"/>
      <c r="L356" s="13"/>
    </row>
    <row r="357">
      <c r="G357" s="16"/>
      <c r="H357" s="17"/>
      <c r="L357" s="13"/>
    </row>
    <row r="358">
      <c r="G358" s="16"/>
      <c r="H358" s="17"/>
      <c r="L358" s="13"/>
    </row>
    <row r="359">
      <c r="G359" s="16"/>
      <c r="H359" s="17"/>
      <c r="L359" s="13"/>
    </row>
    <row r="360">
      <c r="G360" s="16"/>
      <c r="H360" s="17"/>
      <c r="L360" s="13"/>
    </row>
    <row r="361">
      <c r="G361" s="16"/>
      <c r="H361" s="17"/>
      <c r="L361" s="13"/>
    </row>
    <row r="362">
      <c r="G362" s="16"/>
      <c r="H362" s="17"/>
      <c r="L362" s="13"/>
    </row>
    <row r="363">
      <c r="G363" s="16"/>
      <c r="H363" s="17"/>
      <c r="L363" s="13"/>
    </row>
    <row r="364">
      <c r="G364" s="16"/>
      <c r="H364" s="17"/>
      <c r="L364" s="13"/>
    </row>
    <row r="365">
      <c r="G365" s="16"/>
      <c r="H365" s="17"/>
      <c r="L365" s="13"/>
    </row>
    <row r="366">
      <c r="G366" s="16"/>
      <c r="H366" s="17"/>
      <c r="L366" s="13"/>
    </row>
    <row r="367">
      <c r="G367" s="16"/>
      <c r="H367" s="17"/>
      <c r="L367" s="13"/>
    </row>
    <row r="368">
      <c r="G368" s="16"/>
      <c r="H368" s="17"/>
      <c r="L368" s="13"/>
    </row>
    <row r="369">
      <c r="G369" s="16"/>
      <c r="H369" s="17"/>
      <c r="L369" s="13"/>
    </row>
    <row r="370">
      <c r="G370" s="16"/>
      <c r="H370" s="17"/>
      <c r="L370" s="13"/>
    </row>
    <row r="371">
      <c r="G371" s="16"/>
      <c r="H371" s="17"/>
      <c r="L371" s="13"/>
    </row>
    <row r="372">
      <c r="G372" s="16"/>
      <c r="H372" s="17"/>
      <c r="L372" s="13"/>
    </row>
    <row r="373">
      <c r="G373" s="16"/>
      <c r="H373" s="17"/>
      <c r="L373" s="13"/>
    </row>
    <row r="374">
      <c r="G374" s="16"/>
      <c r="H374" s="17"/>
      <c r="L374" s="13"/>
    </row>
    <row r="375">
      <c r="G375" s="16"/>
      <c r="H375" s="17"/>
      <c r="L375" s="13"/>
    </row>
    <row r="376">
      <c r="G376" s="16"/>
      <c r="H376" s="17"/>
      <c r="L376" s="13"/>
    </row>
    <row r="377">
      <c r="G377" s="16"/>
      <c r="H377" s="17"/>
      <c r="L377" s="13"/>
    </row>
    <row r="378">
      <c r="G378" s="16"/>
      <c r="H378" s="17"/>
      <c r="L378" s="13"/>
    </row>
    <row r="379">
      <c r="G379" s="16"/>
      <c r="H379" s="17"/>
      <c r="L379" s="13"/>
    </row>
    <row r="380">
      <c r="G380" s="16"/>
      <c r="H380" s="17"/>
      <c r="L380" s="13"/>
    </row>
    <row r="381">
      <c r="G381" s="16"/>
      <c r="H381" s="17"/>
      <c r="L381" s="13"/>
    </row>
    <row r="382">
      <c r="G382" s="16"/>
      <c r="H382" s="17"/>
      <c r="L382" s="13"/>
    </row>
    <row r="383">
      <c r="G383" s="16"/>
      <c r="H383" s="17"/>
      <c r="L383" s="13"/>
    </row>
    <row r="384">
      <c r="G384" s="16"/>
      <c r="H384" s="17"/>
      <c r="L384" s="13"/>
    </row>
    <row r="385">
      <c r="G385" s="16"/>
      <c r="H385" s="17"/>
      <c r="L385" s="13"/>
    </row>
    <row r="386">
      <c r="G386" s="16"/>
      <c r="H386" s="17"/>
      <c r="L386" s="13"/>
    </row>
    <row r="387">
      <c r="G387" s="16"/>
      <c r="H387" s="17"/>
      <c r="L387" s="13"/>
    </row>
    <row r="388">
      <c r="G388" s="16"/>
      <c r="H388" s="17"/>
      <c r="L388" s="13"/>
    </row>
    <row r="389">
      <c r="G389" s="16"/>
      <c r="H389" s="17"/>
      <c r="L389" s="13"/>
    </row>
    <row r="390">
      <c r="G390" s="16"/>
      <c r="H390" s="17"/>
      <c r="L390" s="13"/>
    </row>
    <row r="391">
      <c r="G391" s="16"/>
      <c r="H391" s="17"/>
      <c r="L391" s="13"/>
    </row>
    <row r="392">
      <c r="G392" s="16"/>
      <c r="H392" s="17"/>
      <c r="L392" s="13"/>
    </row>
    <row r="393">
      <c r="G393" s="16"/>
      <c r="H393" s="17"/>
      <c r="L393" s="13"/>
    </row>
    <row r="394">
      <c r="G394" s="16"/>
      <c r="H394" s="17"/>
      <c r="L394" s="13"/>
    </row>
    <row r="395">
      <c r="G395" s="16"/>
      <c r="H395" s="17"/>
      <c r="L395" s="13"/>
    </row>
    <row r="396">
      <c r="G396" s="16"/>
      <c r="H396" s="17"/>
      <c r="L396" s="13"/>
    </row>
    <row r="397">
      <c r="G397" s="16"/>
      <c r="H397" s="17"/>
      <c r="L397" s="13"/>
    </row>
    <row r="398">
      <c r="G398" s="16"/>
      <c r="H398" s="17"/>
      <c r="L398" s="13"/>
    </row>
    <row r="399">
      <c r="G399" s="16"/>
      <c r="H399" s="17"/>
      <c r="L399" s="13"/>
    </row>
    <row r="400">
      <c r="G400" s="16"/>
      <c r="H400" s="17"/>
      <c r="L400" s="13"/>
    </row>
    <row r="401">
      <c r="G401" s="16"/>
      <c r="H401" s="17"/>
      <c r="L401" s="13"/>
    </row>
    <row r="402">
      <c r="G402" s="16"/>
      <c r="H402" s="17"/>
      <c r="L402" s="13"/>
    </row>
    <row r="403">
      <c r="G403" s="16"/>
      <c r="H403" s="17"/>
      <c r="L403" s="13"/>
    </row>
    <row r="404">
      <c r="G404" s="16"/>
      <c r="H404" s="17"/>
      <c r="L404" s="13"/>
    </row>
    <row r="405">
      <c r="G405" s="16"/>
      <c r="H405" s="17"/>
      <c r="L405" s="13"/>
    </row>
    <row r="406">
      <c r="G406" s="16"/>
      <c r="H406" s="17"/>
      <c r="L406" s="13"/>
    </row>
    <row r="407">
      <c r="G407" s="16"/>
      <c r="H407" s="17"/>
      <c r="L407" s="13"/>
    </row>
    <row r="408">
      <c r="G408" s="16"/>
      <c r="H408" s="17"/>
      <c r="L408" s="13"/>
    </row>
    <row r="409">
      <c r="G409" s="16"/>
      <c r="H409" s="17"/>
      <c r="L409" s="13"/>
    </row>
    <row r="410">
      <c r="G410" s="16"/>
      <c r="H410" s="17"/>
      <c r="L410" s="13"/>
    </row>
    <row r="411">
      <c r="G411" s="16"/>
      <c r="H411" s="17"/>
      <c r="L411" s="13"/>
    </row>
    <row r="412">
      <c r="G412" s="16"/>
      <c r="H412" s="17"/>
      <c r="L412" s="13"/>
    </row>
    <row r="413">
      <c r="G413" s="16"/>
      <c r="H413" s="17"/>
      <c r="L413" s="13"/>
    </row>
    <row r="414">
      <c r="G414" s="16"/>
      <c r="H414" s="17"/>
      <c r="L414" s="13"/>
    </row>
    <row r="415">
      <c r="G415" s="16"/>
      <c r="H415" s="17"/>
      <c r="L415" s="13"/>
    </row>
    <row r="416">
      <c r="G416" s="16"/>
      <c r="H416" s="17"/>
      <c r="L416" s="13"/>
    </row>
    <row r="417">
      <c r="G417" s="16"/>
      <c r="H417" s="17"/>
      <c r="L417" s="13"/>
    </row>
    <row r="418">
      <c r="G418" s="16"/>
      <c r="H418" s="17"/>
      <c r="L418" s="13"/>
    </row>
    <row r="419">
      <c r="G419" s="16"/>
      <c r="H419" s="17"/>
      <c r="L419" s="13"/>
    </row>
    <row r="420">
      <c r="G420" s="16"/>
      <c r="H420" s="17"/>
      <c r="L420" s="13"/>
    </row>
    <row r="421">
      <c r="G421" s="16"/>
      <c r="H421" s="17"/>
      <c r="L421" s="13"/>
    </row>
    <row r="422">
      <c r="G422" s="16"/>
      <c r="H422" s="17"/>
      <c r="L422" s="13"/>
    </row>
    <row r="423">
      <c r="G423" s="16"/>
      <c r="H423" s="17"/>
      <c r="L423" s="13"/>
    </row>
    <row r="424">
      <c r="G424" s="16"/>
      <c r="H424" s="17"/>
      <c r="L424" s="13"/>
    </row>
    <row r="425">
      <c r="G425" s="16"/>
      <c r="H425" s="17"/>
      <c r="L425" s="13"/>
    </row>
    <row r="426">
      <c r="G426" s="16"/>
      <c r="H426" s="17"/>
      <c r="L426" s="13"/>
    </row>
    <row r="427">
      <c r="G427" s="16"/>
      <c r="H427" s="17"/>
      <c r="L427" s="13"/>
    </row>
    <row r="428">
      <c r="G428" s="16"/>
      <c r="H428" s="17"/>
      <c r="L428" s="13"/>
    </row>
    <row r="429">
      <c r="G429" s="16"/>
      <c r="H429" s="17"/>
      <c r="L429" s="13"/>
    </row>
    <row r="430">
      <c r="G430" s="16"/>
      <c r="H430" s="17"/>
      <c r="L430" s="13"/>
    </row>
    <row r="431">
      <c r="G431" s="16"/>
      <c r="H431" s="17"/>
      <c r="L431" s="13"/>
    </row>
    <row r="432">
      <c r="G432" s="16"/>
      <c r="H432" s="17"/>
      <c r="L432" s="13"/>
    </row>
    <row r="433">
      <c r="G433" s="16"/>
      <c r="H433" s="17"/>
      <c r="L433" s="13"/>
    </row>
    <row r="434">
      <c r="G434" s="16"/>
      <c r="H434" s="17"/>
      <c r="L434" s="13"/>
    </row>
    <row r="435">
      <c r="G435" s="16"/>
      <c r="H435" s="17"/>
      <c r="L435" s="13"/>
    </row>
    <row r="436">
      <c r="G436" s="16"/>
      <c r="H436" s="17"/>
      <c r="L436" s="13"/>
    </row>
    <row r="437">
      <c r="G437" s="16"/>
      <c r="H437" s="17"/>
      <c r="L437" s="13"/>
    </row>
    <row r="438">
      <c r="G438" s="16"/>
      <c r="H438" s="17"/>
      <c r="L438" s="13"/>
    </row>
    <row r="439">
      <c r="G439" s="16"/>
      <c r="H439" s="17"/>
      <c r="L439" s="13"/>
    </row>
    <row r="440">
      <c r="G440" s="16"/>
      <c r="H440" s="17"/>
      <c r="L440" s="13"/>
    </row>
    <row r="441">
      <c r="G441" s="16"/>
      <c r="H441" s="17"/>
      <c r="L441" s="13"/>
    </row>
    <row r="442">
      <c r="G442" s="16"/>
      <c r="H442" s="17"/>
      <c r="L442" s="13"/>
    </row>
    <row r="443">
      <c r="G443" s="16"/>
      <c r="H443" s="17"/>
      <c r="L443" s="13"/>
    </row>
    <row r="444">
      <c r="G444" s="16"/>
      <c r="H444" s="17"/>
      <c r="L444" s="13"/>
    </row>
    <row r="445">
      <c r="G445" s="16"/>
      <c r="H445" s="17"/>
      <c r="L445" s="13"/>
    </row>
    <row r="446">
      <c r="G446" s="16"/>
      <c r="H446" s="17"/>
      <c r="L446" s="13"/>
    </row>
    <row r="447">
      <c r="G447" s="16"/>
      <c r="H447" s="17"/>
      <c r="L447" s="13"/>
    </row>
    <row r="448">
      <c r="G448" s="16"/>
      <c r="H448" s="17"/>
      <c r="L448" s="13"/>
    </row>
    <row r="449">
      <c r="G449" s="16"/>
      <c r="H449" s="17"/>
      <c r="L449" s="13"/>
    </row>
    <row r="450">
      <c r="G450" s="16"/>
      <c r="H450" s="17"/>
      <c r="L450" s="13"/>
    </row>
    <row r="451">
      <c r="G451" s="16"/>
      <c r="H451" s="17"/>
      <c r="L451" s="13"/>
    </row>
    <row r="452">
      <c r="G452" s="16"/>
      <c r="H452" s="17"/>
      <c r="L452" s="13"/>
    </row>
    <row r="453">
      <c r="G453" s="16"/>
      <c r="H453" s="17"/>
      <c r="L453" s="13"/>
    </row>
    <row r="454">
      <c r="G454" s="16"/>
      <c r="H454" s="17"/>
      <c r="L454" s="13"/>
    </row>
    <row r="455">
      <c r="G455" s="16"/>
      <c r="H455" s="17"/>
      <c r="L455" s="13"/>
    </row>
    <row r="456">
      <c r="G456" s="16"/>
      <c r="H456" s="17"/>
      <c r="L456" s="13"/>
    </row>
    <row r="457">
      <c r="G457" s="16"/>
      <c r="H457" s="17"/>
      <c r="L457" s="13"/>
    </row>
    <row r="458">
      <c r="G458" s="16"/>
      <c r="H458" s="17"/>
      <c r="L458" s="13"/>
    </row>
    <row r="459">
      <c r="G459" s="16"/>
      <c r="H459" s="17"/>
      <c r="L459" s="13"/>
    </row>
    <row r="460">
      <c r="G460" s="16"/>
      <c r="H460" s="17"/>
      <c r="L460" s="13"/>
    </row>
    <row r="461">
      <c r="G461" s="16"/>
      <c r="H461" s="17"/>
      <c r="L461" s="13"/>
    </row>
    <row r="462">
      <c r="G462" s="16"/>
      <c r="H462" s="17"/>
      <c r="L462" s="13"/>
    </row>
    <row r="463">
      <c r="G463" s="16"/>
      <c r="H463" s="17"/>
      <c r="L463" s="13"/>
    </row>
    <row r="464">
      <c r="G464" s="16"/>
      <c r="H464" s="17"/>
      <c r="L464" s="13"/>
    </row>
    <row r="465">
      <c r="G465" s="16"/>
      <c r="H465" s="17"/>
      <c r="L465" s="13"/>
    </row>
    <row r="466">
      <c r="G466" s="16"/>
      <c r="H466" s="17"/>
      <c r="L466" s="13"/>
    </row>
    <row r="467">
      <c r="G467" s="16"/>
      <c r="H467" s="17"/>
      <c r="L467" s="13"/>
    </row>
    <row r="468">
      <c r="G468" s="16"/>
      <c r="H468" s="17"/>
      <c r="L468" s="13"/>
    </row>
    <row r="469">
      <c r="G469" s="16"/>
      <c r="H469" s="17"/>
      <c r="L469" s="13"/>
    </row>
    <row r="470">
      <c r="G470" s="16"/>
      <c r="H470" s="17"/>
      <c r="L470" s="13"/>
    </row>
    <row r="471">
      <c r="G471" s="16"/>
      <c r="H471" s="17"/>
      <c r="L471" s="13"/>
    </row>
    <row r="472">
      <c r="G472" s="16"/>
      <c r="H472" s="17"/>
      <c r="L472" s="13"/>
    </row>
    <row r="473">
      <c r="G473" s="16"/>
      <c r="H473" s="17"/>
      <c r="L473" s="13"/>
    </row>
    <row r="474">
      <c r="G474" s="16"/>
      <c r="H474" s="17"/>
      <c r="L474" s="13"/>
    </row>
    <row r="475">
      <c r="G475" s="16"/>
      <c r="H475" s="17"/>
      <c r="L475" s="13"/>
    </row>
    <row r="476">
      <c r="G476" s="16"/>
      <c r="H476" s="17"/>
      <c r="L476" s="13"/>
    </row>
    <row r="477">
      <c r="G477" s="16"/>
      <c r="H477" s="17"/>
      <c r="L477" s="13"/>
    </row>
    <row r="478">
      <c r="G478" s="16"/>
      <c r="H478" s="17"/>
      <c r="L478" s="13"/>
    </row>
    <row r="479">
      <c r="G479" s="16"/>
      <c r="H479" s="17"/>
      <c r="L479" s="13"/>
    </row>
    <row r="480">
      <c r="G480" s="16"/>
      <c r="H480" s="17"/>
      <c r="L480" s="13"/>
    </row>
    <row r="481">
      <c r="G481" s="16"/>
      <c r="H481" s="17"/>
      <c r="L481" s="13"/>
    </row>
    <row r="482">
      <c r="G482" s="16"/>
      <c r="H482" s="17"/>
      <c r="L482" s="13"/>
    </row>
    <row r="483">
      <c r="G483" s="16"/>
      <c r="H483" s="17"/>
      <c r="L483" s="13"/>
    </row>
    <row r="484">
      <c r="G484" s="16"/>
      <c r="H484" s="17"/>
      <c r="L484" s="13"/>
    </row>
    <row r="485">
      <c r="G485" s="16"/>
      <c r="H485" s="17"/>
      <c r="L485" s="13"/>
    </row>
    <row r="486">
      <c r="G486" s="16"/>
      <c r="H486" s="17"/>
      <c r="L486" s="13"/>
    </row>
    <row r="487">
      <c r="G487" s="16"/>
      <c r="H487" s="17"/>
      <c r="L487" s="13"/>
    </row>
    <row r="488">
      <c r="G488" s="16"/>
      <c r="H488" s="17"/>
      <c r="L488" s="13"/>
    </row>
    <row r="489">
      <c r="G489" s="16"/>
      <c r="H489" s="17"/>
      <c r="L489" s="13"/>
    </row>
    <row r="490">
      <c r="G490" s="16"/>
      <c r="H490" s="17"/>
      <c r="L490" s="13"/>
    </row>
    <row r="491">
      <c r="G491" s="16"/>
      <c r="H491" s="17"/>
      <c r="L491" s="13"/>
    </row>
    <row r="492">
      <c r="G492" s="16"/>
      <c r="H492" s="17"/>
      <c r="L492" s="13"/>
    </row>
    <row r="493">
      <c r="G493" s="16"/>
      <c r="H493" s="17"/>
      <c r="L493" s="13"/>
    </row>
    <row r="494">
      <c r="G494" s="16"/>
      <c r="H494" s="17"/>
      <c r="L494" s="13"/>
    </row>
    <row r="495">
      <c r="G495" s="16"/>
      <c r="H495" s="17"/>
      <c r="L495" s="13"/>
    </row>
    <row r="496">
      <c r="G496" s="16"/>
      <c r="H496" s="17"/>
      <c r="L496" s="13"/>
    </row>
    <row r="497">
      <c r="G497" s="16"/>
      <c r="H497" s="17"/>
      <c r="L497" s="13"/>
    </row>
    <row r="498">
      <c r="G498" s="16"/>
      <c r="H498" s="17"/>
      <c r="L498" s="13"/>
    </row>
    <row r="499">
      <c r="G499" s="16"/>
      <c r="H499" s="17"/>
      <c r="L499" s="13"/>
    </row>
    <row r="500">
      <c r="G500" s="16"/>
      <c r="H500" s="17"/>
      <c r="L500" s="13"/>
    </row>
    <row r="501">
      <c r="G501" s="16"/>
      <c r="H501" s="17"/>
      <c r="L501" s="13"/>
    </row>
    <row r="502">
      <c r="G502" s="16"/>
      <c r="H502" s="17"/>
      <c r="L502" s="13"/>
    </row>
    <row r="503">
      <c r="G503" s="16"/>
      <c r="H503" s="17"/>
      <c r="L503" s="13"/>
    </row>
    <row r="504">
      <c r="G504" s="16"/>
      <c r="H504" s="17"/>
      <c r="L504" s="13"/>
    </row>
    <row r="505">
      <c r="G505" s="16"/>
      <c r="H505" s="17"/>
      <c r="L505" s="13"/>
    </row>
    <row r="506">
      <c r="G506" s="16"/>
      <c r="H506" s="17"/>
      <c r="L506" s="13"/>
    </row>
    <row r="507">
      <c r="G507" s="16"/>
      <c r="H507" s="17"/>
      <c r="L507" s="13"/>
    </row>
    <row r="508">
      <c r="G508" s="16"/>
      <c r="H508" s="17"/>
      <c r="L508" s="13"/>
    </row>
    <row r="509">
      <c r="G509" s="16"/>
      <c r="H509" s="17"/>
      <c r="L509" s="13"/>
    </row>
    <row r="510">
      <c r="G510" s="16"/>
      <c r="H510" s="17"/>
      <c r="L510" s="13"/>
    </row>
    <row r="511">
      <c r="G511" s="16"/>
      <c r="H511" s="17"/>
      <c r="L511" s="13"/>
    </row>
    <row r="512">
      <c r="G512" s="16"/>
      <c r="H512" s="17"/>
      <c r="L512" s="13"/>
    </row>
    <row r="513">
      <c r="G513" s="16"/>
      <c r="H513" s="17"/>
      <c r="L513" s="13"/>
    </row>
    <row r="514">
      <c r="G514" s="16"/>
      <c r="H514" s="17"/>
      <c r="L514" s="13"/>
    </row>
    <row r="515">
      <c r="G515" s="16"/>
      <c r="H515" s="17"/>
      <c r="L515" s="13"/>
    </row>
    <row r="516">
      <c r="G516" s="16"/>
      <c r="H516" s="17"/>
      <c r="L516" s="13"/>
    </row>
    <row r="517">
      <c r="G517" s="16"/>
      <c r="H517" s="17"/>
      <c r="L517" s="13"/>
    </row>
    <row r="518">
      <c r="G518" s="16"/>
      <c r="H518" s="17"/>
      <c r="L518" s="13"/>
    </row>
    <row r="519">
      <c r="G519" s="16"/>
      <c r="H519" s="17"/>
      <c r="L519" s="13"/>
    </row>
    <row r="520">
      <c r="G520" s="16"/>
      <c r="H520" s="17"/>
      <c r="L520" s="13"/>
    </row>
    <row r="521">
      <c r="G521" s="16"/>
      <c r="H521" s="17"/>
      <c r="L521" s="13"/>
    </row>
    <row r="522">
      <c r="G522" s="16"/>
      <c r="H522" s="17"/>
      <c r="L522" s="13"/>
    </row>
    <row r="523">
      <c r="G523" s="16"/>
      <c r="H523" s="17"/>
      <c r="L523" s="13"/>
    </row>
    <row r="524">
      <c r="G524" s="16"/>
      <c r="H524" s="17"/>
      <c r="L524" s="13"/>
    </row>
    <row r="525">
      <c r="G525" s="16"/>
      <c r="H525" s="17"/>
      <c r="L525" s="13"/>
    </row>
    <row r="526">
      <c r="G526" s="16"/>
      <c r="H526" s="17"/>
      <c r="L526" s="13"/>
    </row>
    <row r="527">
      <c r="G527" s="16"/>
      <c r="H527" s="17"/>
      <c r="L527" s="13"/>
    </row>
    <row r="528">
      <c r="G528" s="16"/>
      <c r="H528" s="17"/>
      <c r="L528" s="13"/>
    </row>
    <row r="529">
      <c r="G529" s="16"/>
      <c r="H529" s="17"/>
      <c r="L529" s="13"/>
    </row>
    <row r="530">
      <c r="G530" s="16"/>
      <c r="H530" s="17"/>
      <c r="L530" s="13"/>
    </row>
    <row r="531">
      <c r="G531" s="16"/>
      <c r="H531" s="17"/>
      <c r="L531" s="13"/>
    </row>
    <row r="532">
      <c r="G532" s="16"/>
      <c r="H532" s="17"/>
      <c r="L532" s="13"/>
    </row>
    <row r="533">
      <c r="G533" s="16"/>
      <c r="H533" s="17"/>
      <c r="L533" s="13"/>
    </row>
    <row r="534">
      <c r="G534" s="16"/>
      <c r="H534" s="17"/>
      <c r="L534" s="13"/>
    </row>
    <row r="535">
      <c r="G535" s="16"/>
      <c r="H535" s="17"/>
      <c r="L535" s="13"/>
    </row>
    <row r="536">
      <c r="G536" s="16"/>
      <c r="H536" s="17"/>
      <c r="L536" s="13"/>
    </row>
    <row r="537">
      <c r="G537" s="16"/>
      <c r="H537" s="17"/>
      <c r="L537" s="13"/>
    </row>
    <row r="538">
      <c r="G538" s="16"/>
      <c r="H538" s="17"/>
      <c r="L538" s="13"/>
    </row>
    <row r="539">
      <c r="G539" s="16"/>
      <c r="H539" s="17"/>
      <c r="L539" s="13"/>
    </row>
    <row r="540">
      <c r="G540" s="16"/>
      <c r="H540" s="17"/>
      <c r="L540" s="13"/>
    </row>
    <row r="541">
      <c r="G541" s="16"/>
      <c r="H541" s="17"/>
      <c r="L541" s="13"/>
    </row>
    <row r="542">
      <c r="G542" s="16"/>
      <c r="H542" s="17"/>
      <c r="L542" s="13"/>
    </row>
    <row r="543">
      <c r="G543" s="16"/>
      <c r="H543" s="17"/>
      <c r="L543" s="13"/>
    </row>
    <row r="544">
      <c r="G544" s="16"/>
      <c r="H544" s="17"/>
      <c r="L544" s="13"/>
    </row>
    <row r="545">
      <c r="G545" s="16"/>
      <c r="H545" s="17"/>
      <c r="L545" s="13"/>
    </row>
    <row r="546">
      <c r="G546" s="16"/>
      <c r="H546" s="17"/>
      <c r="L546" s="13"/>
    </row>
    <row r="547">
      <c r="G547" s="16"/>
      <c r="H547" s="17"/>
      <c r="L547" s="13"/>
    </row>
    <row r="548">
      <c r="G548" s="16"/>
      <c r="H548" s="17"/>
      <c r="L548" s="13"/>
    </row>
    <row r="549">
      <c r="G549" s="16"/>
      <c r="H549" s="17"/>
      <c r="L549" s="13"/>
    </row>
    <row r="550">
      <c r="G550" s="16"/>
      <c r="H550" s="17"/>
      <c r="L550" s="13"/>
    </row>
    <row r="551">
      <c r="G551" s="16"/>
      <c r="H551" s="17"/>
      <c r="L551" s="13"/>
    </row>
    <row r="552">
      <c r="G552" s="16"/>
      <c r="H552" s="17"/>
      <c r="L552" s="13"/>
    </row>
    <row r="553">
      <c r="G553" s="16"/>
      <c r="H553" s="17"/>
      <c r="L553" s="13"/>
    </row>
    <row r="554">
      <c r="G554" s="16"/>
      <c r="H554" s="17"/>
      <c r="L554" s="13"/>
    </row>
    <row r="555">
      <c r="G555" s="16"/>
      <c r="H555" s="17"/>
      <c r="L555" s="13"/>
    </row>
    <row r="556">
      <c r="G556" s="16"/>
      <c r="H556" s="17"/>
      <c r="L556" s="13"/>
    </row>
    <row r="557">
      <c r="G557" s="16"/>
      <c r="H557" s="17"/>
      <c r="L557" s="13"/>
    </row>
    <row r="558">
      <c r="G558" s="16"/>
      <c r="H558" s="17"/>
      <c r="L558" s="13"/>
    </row>
    <row r="559">
      <c r="G559" s="16"/>
      <c r="H559" s="17"/>
      <c r="L559" s="13"/>
    </row>
    <row r="560">
      <c r="G560" s="16"/>
      <c r="H560" s="17"/>
      <c r="L560" s="13"/>
    </row>
    <row r="561">
      <c r="G561" s="16"/>
      <c r="H561" s="17"/>
      <c r="L561" s="13"/>
    </row>
    <row r="562">
      <c r="G562" s="16"/>
      <c r="H562" s="17"/>
      <c r="L562" s="13"/>
    </row>
    <row r="563">
      <c r="G563" s="16"/>
      <c r="H563" s="17"/>
      <c r="L563" s="13"/>
    </row>
    <row r="564">
      <c r="G564" s="16"/>
      <c r="H564" s="17"/>
      <c r="L564" s="13"/>
    </row>
    <row r="565">
      <c r="G565" s="16"/>
      <c r="H565" s="17"/>
      <c r="L565" s="13"/>
    </row>
    <row r="566">
      <c r="G566" s="16"/>
      <c r="H566" s="17"/>
      <c r="L566" s="13"/>
    </row>
    <row r="567">
      <c r="G567" s="16"/>
      <c r="H567" s="17"/>
      <c r="L567" s="13"/>
    </row>
    <row r="568">
      <c r="G568" s="16"/>
      <c r="H568" s="17"/>
      <c r="L568" s="13"/>
    </row>
    <row r="569">
      <c r="G569" s="16"/>
      <c r="H569" s="17"/>
      <c r="L569" s="13"/>
    </row>
    <row r="570">
      <c r="G570" s="16"/>
      <c r="H570" s="17"/>
      <c r="L570" s="13"/>
    </row>
    <row r="571">
      <c r="G571" s="16"/>
      <c r="H571" s="17"/>
      <c r="L571" s="13"/>
    </row>
    <row r="572">
      <c r="G572" s="16"/>
      <c r="H572" s="17"/>
      <c r="L572" s="13"/>
    </row>
    <row r="573">
      <c r="G573" s="16"/>
      <c r="H573" s="17"/>
      <c r="L573" s="13"/>
    </row>
    <row r="574">
      <c r="G574" s="16"/>
      <c r="H574" s="17"/>
      <c r="L574" s="13"/>
    </row>
    <row r="575">
      <c r="G575" s="16"/>
      <c r="H575" s="17"/>
      <c r="L575" s="13"/>
    </row>
    <row r="576">
      <c r="G576" s="16"/>
      <c r="H576" s="17"/>
      <c r="L576" s="13"/>
    </row>
    <row r="577">
      <c r="G577" s="16"/>
      <c r="H577" s="17"/>
      <c r="L577" s="13"/>
    </row>
    <row r="578">
      <c r="G578" s="16"/>
      <c r="H578" s="17"/>
      <c r="L578" s="13"/>
    </row>
    <row r="579">
      <c r="G579" s="16"/>
      <c r="H579" s="17"/>
      <c r="L579" s="13"/>
    </row>
    <row r="580">
      <c r="G580" s="16"/>
      <c r="H580" s="17"/>
      <c r="L580" s="13"/>
    </row>
    <row r="581">
      <c r="G581" s="16"/>
      <c r="H581" s="17"/>
      <c r="L581" s="13"/>
    </row>
    <row r="582">
      <c r="G582" s="16"/>
      <c r="H582" s="17"/>
      <c r="L582" s="13"/>
    </row>
    <row r="583">
      <c r="G583" s="16"/>
      <c r="H583" s="17"/>
      <c r="L583" s="13"/>
    </row>
    <row r="584">
      <c r="G584" s="16"/>
      <c r="H584" s="17"/>
      <c r="L584" s="13"/>
    </row>
    <row r="585">
      <c r="G585" s="16"/>
      <c r="H585" s="17"/>
      <c r="L585" s="13"/>
    </row>
    <row r="586">
      <c r="G586" s="16"/>
      <c r="H586" s="17"/>
      <c r="L586" s="13"/>
    </row>
    <row r="587">
      <c r="G587" s="16"/>
      <c r="H587" s="17"/>
      <c r="L587" s="13"/>
    </row>
    <row r="588">
      <c r="G588" s="16"/>
      <c r="H588" s="17"/>
      <c r="L588" s="13"/>
    </row>
    <row r="589">
      <c r="G589" s="16"/>
      <c r="H589" s="17"/>
      <c r="L589" s="13"/>
    </row>
    <row r="590">
      <c r="G590" s="16"/>
      <c r="H590" s="17"/>
      <c r="L590" s="13"/>
    </row>
    <row r="591">
      <c r="G591" s="16"/>
      <c r="H591" s="17"/>
      <c r="L591" s="13"/>
    </row>
    <row r="592">
      <c r="G592" s="16"/>
      <c r="H592" s="17"/>
      <c r="L592" s="13"/>
    </row>
    <row r="593">
      <c r="G593" s="16"/>
      <c r="H593" s="17"/>
      <c r="L593" s="13"/>
    </row>
    <row r="594">
      <c r="G594" s="16"/>
      <c r="H594" s="17"/>
      <c r="L594" s="13"/>
    </row>
    <row r="595">
      <c r="G595" s="16"/>
      <c r="H595" s="17"/>
      <c r="L595" s="13"/>
    </row>
    <row r="596">
      <c r="G596" s="16"/>
      <c r="H596" s="17"/>
      <c r="L596" s="13"/>
    </row>
    <row r="597">
      <c r="G597" s="16"/>
      <c r="H597" s="17"/>
      <c r="L597" s="13"/>
    </row>
    <row r="598">
      <c r="G598" s="16"/>
      <c r="H598" s="17"/>
      <c r="L598" s="13"/>
    </row>
    <row r="599">
      <c r="G599" s="16"/>
      <c r="H599" s="17"/>
      <c r="L599" s="13"/>
    </row>
    <row r="600">
      <c r="G600" s="16"/>
      <c r="H600" s="17"/>
      <c r="L600" s="13"/>
    </row>
    <row r="601">
      <c r="G601" s="16"/>
      <c r="H601" s="17"/>
      <c r="L601" s="13"/>
    </row>
    <row r="602">
      <c r="G602" s="16"/>
      <c r="H602" s="17"/>
      <c r="L602" s="13"/>
    </row>
    <row r="603">
      <c r="G603" s="16"/>
      <c r="H603" s="17"/>
      <c r="L603" s="13"/>
    </row>
    <row r="604">
      <c r="G604" s="16"/>
      <c r="H604" s="17"/>
      <c r="L604" s="13"/>
    </row>
    <row r="605">
      <c r="G605" s="16"/>
      <c r="H605" s="17"/>
      <c r="L605" s="13"/>
    </row>
    <row r="606">
      <c r="G606" s="16"/>
      <c r="H606" s="17"/>
      <c r="L606" s="13"/>
    </row>
    <row r="607">
      <c r="G607" s="16"/>
      <c r="H607" s="17"/>
      <c r="L607" s="13"/>
    </row>
    <row r="608">
      <c r="G608" s="16"/>
      <c r="H608" s="17"/>
      <c r="L608" s="13"/>
    </row>
    <row r="609">
      <c r="G609" s="16"/>
      <c r="H609" s="17"/>
      <c r="L609" s="13"/>
    </row>
    <row r="610">
      <c r="G610" s="16"/>
      <c r="H610" s="17"/>
      <c r="L610" s="13"/>
    </row>
    <row r="611">
      <c r="G611" s="16"/>
      <c r="H611" s="17"/>
      <c r="L611" s="13"/>
    </row>
    <row r="612">
      <c r="G612" s="16"/>
      <c r="H612" s="17"/>
      <c r="L612" s="13"/>
    </row>
    <row r="613">
      <c r="G613" s="16"/>
      <c r="H613" s="17"/>
      <c r="L613" s="13"/>
    </row>
    <row r="614">
      <c r="G614" s="16"/>
      <c r="H614" s="17"/>
      <c r="L614" s="13"/>
    </row>
    <row r="615">
      <c r="G615" s="16"/>
      <c r="H615" s="17"/>
      <c r="L615" s="13"/>
    </row>
    <row r="616">
      <c r="G616" s="16"/>
      <c r="H616" s="17"/>
      <c r="L616" s="13"/>
    </row>
    <row r="617">
      <c r="G617" s="16"/>
      <c r="H617" s="17"/>
      <c r="L617" s="13"/>
    </row>
    <row r="618">
      <c r="G618" s="16"/>
      <c r="H618" s="17"/>
      <c r="L618" s="13"/>
    </row>
    <row r="619">
      <c r="G619" s="16"/>
      <c r="H619" s="17"/>
      <c r="L619" s="13"/>
    </row>
    <row r="620">
      <c r="G620" s="16"/>
      <c r="H620" s="17"/>
      <c r="L620" s="13"/>
    </row>
    <row r="621">
      <c r="G621" s="16"/>
      <c r="H621" s="17"/>
      <c r="L621" s="13"/>
    </row>
    <row r="622">
      <c r="G622" s="16"/>
      <c r="H622" s="17"/>
      <c r="L622" s="13"/>
    </row>
    <row r="623">
      <c r="G623" s="16"/>
      <c r="H623" s="17"/>
      <c r="L623" s="13"/>
    </row>
    <row r="624">
      <c r="G624" s="16"/>
      <c r="H624" s="17"/>
      <c r="L624" s="13"/>
    </row>
    <row r="625">
      <c r="G625" s="16"/>
      <c r="H625" s="17"/>
      <c r="L625" s="13"/>
    </row>
    <row r="626">
      <c r="G626" s="16"/>
      <c r="H626" s="17"/>
      <c r="L626" s="13"/>
    </row>
    <row r="627">
      <c r="G627" s="16"/>
      <c r="H627" s="17"/>
      <c r="L627" s="13"/>
    </row>
    <row r="628">
      <c r="G628" s="16"/>
      <c r="H628" s="17"/>
      <c r="L628" s="13"/>
    </row>
    <row r="629">
      <c r="G629" s="16"/>
      <c r="H629" s="17"/>
      <c r="L629" s="13"/>
    </row>
    <row r="630">
      <c r="G630" s="16"/>
      <c r="H630" s="17"/>
      <c r="L630" s="13"/>
    </row>
    <row r="631">
      <c r="G631" s="16"/>
      <c r="H631" s="17"/>
      <c r="L631" s="13"/>
    </row>
    <row r="632">
      <c r="G632" s="16"/>
      <c r="H632" s="17"/>
      <c r="L632" s="13"/>
    </row>
    <row r="633">
      <c r="G633" s="16"/>
      <c r="H633" s="17"/>
      <c r="L633" s="13"/>
    </row>
    <row r="634">
      <c r="G634" s="16"/>
      <c r="H634" s="17"/>
      <c r="L634" s="13"/>
    </row>
    <row r="635">
      <c r="G635" s="16"/>
      <c r="H635" s="17"/>
      <c r="L635" s="13"/>
    </row>
    <row r="636">
      <c r="G636" s="16"/>
      <c r="H636" s="17"/>
      <c r="L636" s="13"/>
    </row>
    <row r="637">
      <c r="G637" s="16"/>
      <c r="H637" s="17"/>
      <c r="L637" s="13"/>
    </row>
    <row r="638">
      <c r="G638" s="16"/>
      <c r="H638" s="17"/>
      <c r="L638" s="13"/>
    </row>
    <row r="639">
      <c r="G639" s="16"/>
      <c r="H639" s="17"/>
      <c r="L639" s="13"/>
    </row>
    <row r="640">
      <c r="G640" s="16"/>
      <c r="H640" s="17"/>
      <c r="L640" s="13"/>
    </row>
    <row r="641">
      <c r="G641" s="16"/>
      <c r="H641" s="17"/>
      <c r="L641" s="13"/>
    </row>
    <row r="642">
      <c r="G642" s="16"/>
      <c r="H642" s="17"/>
      <c r="L642" s="13"/>
    </row>
    <row r="643">
      <c r="G643" s="16"/>
      <c r="H643" s="17"/>
      <c r="L643" s="13"/>
    </row>
    <row r="644">
      <c r="G644" s="16"/>
      <c r="H644" s="17"/>
      <c r="L644" s="13"/>
    </row>
    <row r="645">
      <c r="G645" s="16"/>
      <c r="H645" s="17"/>
      <c r="L645" s="13"/>
    </row>
    <row r="646">
      <c r="G646" s="16"/>
      <c r="H646" s="17"/>
      <c r="L646" s="13"/>
    </row>
    <row r="647">
      <c r="G647" s="16"/>
      <c r="H647" s="17"/>
      <c r="L647" s="13"/>
    </row>
    <row r="648">
      <c r="G648" s="16"/>
      <c r="H648" s="17"/>
      <c r="L648" s="13"/>
    </row>
    <row r="649">
      <c r="G649" s="16"/>
      <c r="H649" s="17"/>
      <c r="L649" s="13"/>
    </row>
    <row r="650">
      <c r="G650" s="16"/>
      <c r="H650" s="17"/>
      <c r="L650" s="13"/>
    </row>
    <row r="651">
      <c r="G651" s="16"/>
      <c r="H651" s="17"/>
      <c r="L651" s="13"/>
    </row>
    <row r="652">
      <c r="G652" s="16"/>
      <c r="H652" s="17"/>
      <c r="L652" s="13"/>
    </row>
    <row r="653">
      <c r="G653" s="16"/>
      <c r="H653" s="17"/>
      <c r="L653" s="13"/>
    </row>
    <row r="654">
      <c r="G654" s="16"/>
      <c r="H654" s="17"/>
      <c r="L654" s="13"/>
    </row>
    <row r="655">
      <c r="G655" s="16"/>
      <c r="H655" s="17"/>
      <c r="L655" s="13"/>
    </row>
    <row r="656">
      <c r="G656" s="16"/>
      <c r="H656" s="17"/>
      <c r="L656" s="13"/>
    </row>
    <row r="657">
      <c r="G657" s="16"/>
      <c r="H657" s="17"/>
      <c r="L657" s="13"/>
    </row>
    <row r="658">
      <c r="G658" s="16"/>
      <c r="H658" s="17"/>
      <c r="L658" s="13"/>
    </row>
    <row r="659">
      <c r="G659" s="16"/>
      <c r="H659" s="17"/>
      <c r="L659" s="13"/>
    </row>
    <row r="660">
      <c r="G660" s="16"/>
      <c r="H660" s="17"/>
      <c r="L660" s="13"/>
    </row>
    <row r="661">
      <c r="G661" s="16"/>
      <c r="H661" s="17"/>
      <c r="L661" s="13"/>
    </row>
    <row r="662">
      <c r="G662" s="16"/>
      <c r="H662" s="17"/>
      <c r="L662" s="13"/>
    </row>
    <row r="663">
      <c r="G663" s="16"/>
      <c r="H663" s="17"/>
      <c r="L663" s="13"/>
    </row>
    <row r="664">
      <c r="G664" s="16"/>
      <c r="H664" s="17"/>
      <c r="L664" s="13"/>
    </row>
    <row r="665">
      <c r="G665" s="16"/>
      <c r="H665" s="17"/>
      <c r="L665" s="13"/>
    </row>
    <row r="666">
      <c r="G666" s="16"/>
      <c r="H666" s="17"/>
      <c r="L666" s="13"/>
    </row>
    <row r="667">
      <c r="G667" s="16"/>
      <c r="H667" s="17"/>
      <c r="L667" s="13"/>
    </row>
    <row r="668">
      <c r="G668" s="16"/>
      <c r="H668" s="17"/>
      <c r="L668" s="13"/>
    </row>
    <row r="669">
      <c r="G669" s="16"/>
      <c r="H669" s="17"/>
      <c r="L669" s="13"/>
    </row>
    <row r="670">
      <c r="G670" s="16"/>
      <c r="H670" s="17"/>
      <c r="L670" s="13"/>
    </row>
    <row r="671">
      <c r="G671" s="16"/>
      <c r="H671" s="17"/>
      <c r="L671" s="13"/>
    </row>
    <row r="672">
      <c r="G672" s="16"/>
      <c r="H672" s="17"/>
      <c r="L672" s="13"/>
    </row>
    <row r="673">
      <c r="G673" s="16"/>
      <c r="H673" s="17"/>
      <c r="L673" s="13"/>
    </row>
    <row r="674">
      <c r="G674" s="16"/>
      <c r="H674" s="17"/>
      <c r="L674" s="13"/>
    </row>
    <row r="675">
      <c r="G675" s="16"/>
      <c r="H675" s="17"/>
      <c r="L675" s="13"/>
    </row>
    <row r="676">
      <c r="G676" s="16"/>
      <c r="H676" s="17"/>
      <c r="L676" s="13"/>
    </row>
    <row r="677">
      <c r="G677" s="16"/>
      <c r="H677" s="17"/>
      <c r="L677" s="13"/>
    </row>
    <row r="678">
      <c r="G678" s="16"/>
      <c r="H678" s="17"/>
      <c r="L678" s="13"/>
    </row>
    <row r="679">
      <c r="G679" s="16"/>
      <c r="H679" s="17"/>
      <c r="L679" s="13"/>
    </row>
    <row r="680">
      <c r="G680" s="16"/>
      <c r="H680" s="17"/>
      <c r="L680" s="13"/>
    </row>
    <row r="681">
      <c r="G681" s="16"/>
      <c r="H681" s="17"/>
      <c r="L681" s="13"/>
    </row>
    <row r="682">
      <c r="G682" s="16"/>
      <c r="H682" s="17"/>
      <c r="L682" s="13"/>
    </row>
    <row r="683">
      <c r="G683" s="16"/>
      <c r="H683" s="17"/>
      <c r="L683" s="13"/>
    </row>
    <row r="684">
      <c r="G684" s="16"/>
      <c r="H684" s="17"/>
      <c r="L684" s="13"/>
    </row>
    <row r="685">
      <c r="G685" s="16"/>
      <c r="H685" s="17"/>
      <c r="L685" s="13"/>
    </row>
    <row r="686">
      <c r="G686" s="16"/>
      <c r="H686" s="17"/>
      <c r="L686" s="13"/>
    </row>
    <row r="687">
      <c r="G687" s="16"/>
      <c r="H687" s="17"/>
      <c r="L687" s="13"/>
    </row>
    <row r="688">
      <c r="G688" s="16"/>
      <c r="H688" s="17"/>
      <c r="L688" s="13"/>
    </row>
    <row r="689">
      <c r="G689" s="16"/>
      <c r="H689" s="17"/>
      <c r="L689" s="13"/>
    </row>
    <row r="690">
      <c r="G690" s="16"/>
      <c r="H690" s="17"/>
      <c r="L690" s="13"/>
    </row>
    <row r="691">
      <c r="G691" s="16"/>
      <c r="H691" s="17"/>
      <c r="L691" s="13"/>
    </row>
    <row r="692">
      <c r="G692" s="16"/>
      <c r="H692" s="17"/>
      <c r="L692" s="13"/>
    </row>
    <row r="693">
      <c r="G693" s="16"/>
      <c r="H693" s="17"/>
      <c r="L693" s="13"/>
    </row>
    <row r="694">
      <c r="G694" s="16"/>
      <c r="H694" s="17"/>
      <c r="L694" s="13"/>
    </row>
    <row r="695">
      <c r="G695" s="16"/>
      <c r="H695" s="17"/>
      <c r="L695" s="13"/>
    </row>
    <row r="696">
      <c r="G696" s="16"/>
      <c r="H696" s="17"/>
      <c r="L696" s="13"/>
    </row>
    <row r="697">
      <c r="G697" s="16"/>
      <c r="H697" s="17"/>
      <c r="L697" s="13"/>
    </row>
    <row r="698">
      <c r="G698" s="16"/>
      <c r="H698" s="17"/>
      <c r="L698" s="13"/>
    </row>
    <row r="699">
      <c r="G699" s="16"/>
      <c r="H699" s="17"/>
      <c r="L699" s="13"/>
    </row>
    <row r="700">
      <c r="G700" s="16"/>
      <c r="H700" s="17"/>
      <c r="L700" s="13"/>
    </row>
    <row r="701">
      <c r="G701" s="16"/>
      <c r="H701" s="17"/>
      <c r="L701" s="13"/>
    </row>
    <row r="702">
      <c r="G702" s="16"/>
      <c r="H702" s="17"/>
      <c r="L702" s="13"/>
    </row>
    <row r="703">
      <c r="G703" s="16"/>
      <c r="H703" s="17"/>
      <c r="L703" s="13"/>
    </row>
    <row r="704">
      <c r="G704" s="16"/>
      <c r="H704" s="17"/>
      <c r="L704" s="13"/>
    </row>
    <row r="705">
      <c r="G705" s="16"/>
      <c r="H705" s="17"/>
      <c r="L705" s="13"/>
    </row>
    <row r="706">
      <c r="G706" s="16"/>
      <c r="H706" s="17"/>
      <c r="L706" s="13"/>
    </row>
    <row r="707">
      <c r="G707" s="16"/>
      <c r="H707" s="17"/>
      <c r="L707" s="13"/>
    </row>
    <row r="708">
      <c r="G708" s="16"/>
      <c r="H708" s="17"/>
      <c r="L708" s="13"/>
    </row>
    <row r="709">
      <c r="G709" s="16"/>
      <c r="H709" s="17"/>
      <c r="L709" s="13"/>
    </row>
    <row r="710">
      <c r="G710" s="16"/>
      <c r="H710" s="17"/>
      <c r="L710" s="13"/>
    </row>
    <row r="711">
      <c r="G711" s="16"/>
      <c r="H711" s="17"/>
      <c r="L711" s="13"/>
    </row>
    <row r="712">
      <c r="G712" s="16"/>
      <c r="H712" s="17"/>
      <c r="L712" s="13"/>
    </row>
    <row r="713">
      <c r="G713" s="16"/>
      <c r="H713" s="17"/>
      <c r="L713" s="13"/>
    </row>
    <row r="714">
      <c r="G714" s="16"/>
      <c r="H714" s="17"/>
      <c r="L714" s="13"/>
    </row>
    <row r="715">
      <c r="G715" s="16"/>
      <c r="H715" s="17"/>
      <c r="L715" s="13"/>
    </row>
    <row r="716">
      <c r="G716" s="16"/>
      <c r="H716" s="17"/>
      <c r="L716" s="13"/>
    </row>
    <row r="717">
      <c r="G717" s="16"/>
      <c r="H717" s="17"/>
      <c r="L717" s="13"/>
    </row>
    <row r="718">
      <c r="G718" s="16"/>
      <c r="H718" s="17"/>
      <c r="L718" s="13"/>
    </row>
    <row r="719">
      <c r="G719" s="16"/>
      <c r="H719" s="17"/>
      <c r="L719" s="13"/>
    </row>
    <row r="720">
      <c r="G720" s="16"/>
      <c r="H720" s="17"/>
      <c r="L720" s="13"/>
    </row>
    <row r="721">
      <c r="G721" s="16"/>
      <c r="H721" s="17"/>
      <c r="L721" s="13"/>
    </row>
    <row r="722">
      <c r="G722" s="16"/>
      <c r="H722" s="17"/>
      <c r="L722" s="13"/>
    </row>
    <row r="723">
      <c r="G723" s="16"/>
      <c r="H723" s="17"/>
      <c r="L723" s="13"/>
    </row>
    <row r="724">
      <c r="G724" s="16"/>
      <c r="H724" s="17"/>
      <c r="L724" s="13"/>
    </row>
    <row r="725">
      <c r="G725" s="16"/>
      <c r="H725" s="17"/>
      <c r="L725" s="13"/>
    </row>
    <row r="726">
      <c r="G726" s="16"/>
      <c r="H726" s="17"/>
      <c r="L726" s="13"/>
    </row>
    <row r="727">
      <c r="G727" s="16"/>
      <c r="H727" s="17"/>
      <c r="L727" s="13"/>
    </row>
    <row r="728">
      <c r="G728" s="16"/>
      <c r="H728" s="17"/>
      <c r="L728" s="13"/>
    </row>
    <row r="729">
      <c r="G729" s="16"/>
      <c r="H729" s="17"/>
      <c r="L729" s="13"/>
    </row>
    <row r="730">
      <c r="G730" s="16"/>
      <c r="H730" s="17"/>
      <c r="L730" s="13"/>
    </row>
    <row r="731">
      <c r="G731" s="16"/>
      <c r="H731" s="17"/>
      <c r="L731" s="13"/>
    </row>
    <row r="732">
      <c r="G732" s="16"/>
      <c r="H732" s="17"/>
      <c r="L732" s="13"/>
    </row>
    <row r="733">
      <c r="G733" s="16"/>
      <c r="H733" s="17"/>
      <c r="L733" s="13"/>
    </row>
    <row r="734">
      <c r="G734" s="16"/>
      <c r="H734" s="17"/>
      <c r="L734" s="13"/>
    </row>
    <row r="735">
      <c r="G735" s="16"/>
      <c r="H735" s="17"/>
      <c r="L735" s="13"/>
    </row>
    <row r="736">
      <c r="G736" s="16"/>
      <c r="H736" s="17"/>
      <c r="L736" s="13"/>
    </row>
    <row r="737">
      <c r="G737" s="16"/>
      <c r="H737" s="17"/>
      <c r="L737" s="13"/>
    </row>
    <row r="738">
      <c r="G738" s="16"/>
      <c r="H738" s="17"/>
      <c r="L738" s="13"/>
    </row>
    <row r="739">
      <c r="G739" s="16"/>
      <c r="H739" s="17"/>
      <c r="L739" s="13"/>
    </row>
    <row r="740">
      <c r="G740" s="16"/>
      <c r="H740" s="17"/>
      <c r="L740" s="13"/>
    </row>
    <row r="741">
      <c r="G741" s="16"/>
      <c r="H741" s="17"/>
      <c r="L741" s="13"/>
    </row>
    <row r="742">
      <c r="G742" s="16"/>
      <c r="H742" s="17"/>
      <c r="L742" s="13"/>
    </row>
    <row r="743">
      <c r="G743" s="16"/>
      <c r="H743" s="17"/>
      <c r="L743" s="13"/>
    </row>
    <row r="744">
      <c r="G744" s="16"/>
      <c r="H744" s="17"/>
      <c r="L744" s="13"/>
    </row>
    <row r="745">
      <c r="G745" s="16"/>
      <c r="H745" s="17"/>
      <c r="L745" s="13"/>
    </row>
    <row r="746">
      <c r="G746" s="16"/>
      <c r="H746" s="17"/>
      <c r="L746" s="13"/>
    </row>
    <row r="747">
      <c r="G747" s="16"/>
      <c r="H747" s="17"/>
      <c r="L747" s="13"/>
    </row>
    <row r="748">
      <c r="G748" s="16"/>
      <c r="H748" s="17"/>
      <c r="L748" s="13"/>
    </row>
    <row r="749">
      <c r="G749" s="16"/>
      <c r="H749" s="17"/>
      <c r="L749" s="13"/>
    </row>
    <row r="750">
      <c r="G750" s="16"/>
      <c r="H750" s="17"/>
      <c r="L750" s="13"/>
    </row>
    <row r="751">
      <c r="G751" s="16"/>
      <c r="H751" s="17"/>
      <c r="L751" s="13"/>
    </row>
    <row r="752">
      <c r="G752" s="16"/>
      <c r="H752" s="17"/>
      <c r="L752" s="13"/>
    </row>
    <row r="753">
      <c r="G753" s="16"/>
      <c r="H753" s="17"/>
      <c r="L753" s="13"/>
    </row>
    <row r="754">
      <c r="G754" s="16"/>
      <c r="H754" s="17"/>
      <c r="L754" s="13"/>
    </row>
    <row r="755">
      <c r="G755" s="16"/>
      <c r="H755" s="17"/>
      <c r="L755" s="13"/>
    </row>
    <row r="756">
      <c r="G756" s="16"/>
      <c r="H756" s="17"/>
      <c r="L756" s="13"/>
    </row>
    <row r="757">
      <c r="G757" s="16"/>
      <c r="H757" s="17"/>
      <c r="L757" s="13"/>
    </row>
    <row r="758">
      <c r="G758" s="16"/>
      <c r="H758" s="17"/>
      <c r="L758" s="13"/>
    </row>
    <row r="759">
      <c r="G759" s="16"/>
      <c r="H759" s="17"/>
      <c r="L759" s="13"/>
    </row>
    <row r="760">
      <c r="G760" s="16"/>
      <c r="H760" s="17"/>
      <c r="L760" s="13"/>
    </row>
    <row r="761">
      <c r="G761" s="16"/>
      <c r="H761" s="17"/>
      <c r="L761" s="13"/>
    </row>
    <row r="762">
      <c r="G762" s="16"/>
      <c r="H762" s="17"/>
      <c r="L762" s="13"/>
    </row>
    <row r="763">
      <c r="G763" s="16"/>
      <c r="H763" s="17"/>
      <c r="L763" s="13"/>
    </row>
    <row r="764">
      <c r="G764" s="16"/>
      <c r="H764" s="17"/>
      <c r="L764" s="13"/>
    </row>
    <row r="765">
      <c r="G765" s="16"/>
      <c r="H765" s="17"/>
      <c r="L765" s="13"/>
    </row>
    <row r="766">
      <c r="G766" s="16"/>
      <c r="H766" s="17"/>
      <c r="L766" s="13"/>
    </row>
    <row r="767">
      <c r="G767" s="16"/>
      <c r="H767" s="17"/>
      <c r="L767" s="13"/>
    </row>
    <row r="768">
      <c r="G768" s="16"/>
      <c r="H768" s="17"/>
      <c r="L768" s="13"/>
    </row>
    <row r="769">
      <c r="G769" s="16"/>
      <c r="H769" s="17"/>
      <c r="L769" s="13"/>
    </row>
    <row r="770">
      <c r="G770" s="16"/>
      <c r="H770" s="17"/>
      <c r="L770" s="13"/>
    </row>
    <row r="771">
      <c r="G771" s="16"/>
      <c r="H771" s="17"/>
      <c r="L771" s="13"/>
    </row>
    <row r="772">
      <c r="G772" s="16"/>
      <c r="H772" s="17"/>
      <c r="L772" s="13"/>
    </row>
    <row r="773">
      <c r="G773" s="16"/>
      <c r="H773" s="17"/>
      <c r="L773" s="13"/>
    </row>
    <row r="774">
      <c r="G774" s="16"/>
      <c r="H774" s="17"/>
      <c r="L774" s="13"/>
    </row>
    <row r="775">
      <c r="G775" s="16"/>
      <c r="H775" s="17"/>
      <c r="L775" s="13"/>
    </row>
    <row r="776">
      <c r="G776" s="16"/>
      <c r="H776" s="17"/>
      <c r="L776" s="13"/>
    </row>
    <row r="777">
      <c r="G777" s="16"/>
      <c r="H777" s="17"/>
      <c r="L777" s="13"/>
    </row>
    <row r="778">
      <c r="G778" s="16"/>
      <c r="H778" s="17"/>
      <c r="L778" s="13"/>
    </row>
    <row r="779">
      <c r="G779" s="16"/>
      <c r="H779" s="17"/>
      <c r="L779" s="13"/>
    </row>
    <row r="780">
      <c r="G780" s="16"/>
      <c r="H780" s="17"/>
      <c r="L780" s="13"/>
    </row>
    <row r="781">
      <c r="G781" s="16"/>
      <c r="H781" s="17"/>
      <c r="L781" s="13"/>
    </row>
    <row r="782">
      <c r="G782" s="16"/>
      <c r="H782" s="17"/>
      <c r="L782" s="13"/>
    </row>
    <row r="783">
      <c r="G783" s="16"/>
      <c r="H783" s="17"/>
      <c r="L783" s="13"/>
    </row>
    <row r="784">
      <c r="G784" s="16"/>
      <c r="H784" s="17"/>
      <c r="L784" s="13"/>
    </row>
    <row r="785">
      <c r="G785" s="16"/>
      <c r="H785" s="17"/>
      <c r="L785" s="13"/>
    </row>
    <row r="786">
      <c r="G786" s="16"/>
      <c r="H786" s="17"/>
      <c r="L786" s="13"/>
    </row>
    <row r="787">
      <c r="G787" s="16"/>
      <c r="H787" s="17"/>
      <c r="L787" s="13"/>
    </row>
    <row r="788">
      <c r="G788" s="16"/>
      <c r="H788" s="17"/>
      <c r="L788" s="13"/>
    </row>
    <row r="789">
      <c r="G789" s="16"/>
      <c r="H789" s="17"/>
      <c r="L789" s="13"/>
    </row>
    <row r="790">
      <c r="G790" s="16"/>
      <c r="H790" s="17"/>
      <c r="L790" s="13"/>
    </row>
    <row r="791">
      <c r="G791" s="16"/>
      <c r="H791" s="17"/>
      <c r="L791" s="13"/>
    </row>
    <row r="792">
      <c r="G792" s="16"/>
      <c r="H792" s="17"/>
      <c r="L792" s="13"/>
    </row>
    <row r="793">
      <c r="G793" s="16"/>
      <c r="H793" s="17"/>
      <c r="L793" s="13"/>
    </row>
    <row r="794">
      <c r="G794" s="16"/>
      <c r="H794" s="17"/>
      <c r="L794" s="13"/>
    </row>
    <row r="795">
      <c r="G795" s="16"/>
      <c r="H795" s="17"/>
      <c r="L795" s="13"/>
    </row>
    <row r="796">
      <c r="G796" s="16"/>
      <c r="H796" s="17"/>
      <c r="L796" s="13"/>
    </row>
    <row r="797">
      <c r="G797" s="16"/>
      <c r="H797" s="17"/>
      <c r="L797" s="13"/>
    </row>
    <row r="798">
      <c r="G798" s="16"/>
      <c r="H798" s="17"/>
      <c r="L798" s="13"/>
    </row>
    <row r="799">
      <c r="G799" s="16"/>
      <c r="H799" s="17"/>
      <c r="L799" s="13"/>
    </row>
    <row r="800">
      <c r="G800" s="16"/>
      <c r="H800" s="17"/>
      <c r="L800" s="13"/>
    </row>
    <row r="801">
      <c r="G801" s="16"/>
      <c r="H801" s="17"/>
      <c r="L801" s="13"/>
    </row>
    <row r="802">
      <c r="G802" s="16"/>
      <c r="H802" s="17"/>
      <c r="L802" s="13"/>
    </row>
    <row r="803">
      <c r="G803" s="16"/>
      <c r="H803" s="17"/>
      <c r="L803" s="13"/>
    </row>
    <row r="804">
      <c r="G804" s="16"/>
      <c r="H804" s="17"/>
      <c r="L804" s="13"/>
    </row>
    <row r="805">
      <c r="G805" s="16"/>
      <c r="H805" s="17"/>
      <c r="L805" s="13"/>
    </row>
    <row r="806">
      <c r="G806" s="16"/>
      <c r="H806" s="17"/>
      <c r="L806" s="13"/>
    </row>
    <row r="807">
      <c r="G807" s="16"/>
      <c r="H807" s="17"/>
      <c r="L807" s="13"/>
    </row>
    <row r="808">
      <c r="G808" s="16"/>
      <c r="H808" s="17"/>
      <c r="L808" s="13"/>
    </row>
    <row r="809">
      <c r="G809" s="16"/>
      <c r="H809" s="17"/>
      <c r="L809" s="13"/>
    </row>
    <row r="810">
      <c r="G810" s="16"/>
      <c r="H810" s="17"/>
      <c r="L810" s="13"/>
    </row>
    <row r="811">
      <c r="G811" s="16"/>
      <c r="H811" s="17"/>
      <c r="L811" s="13"/>
    </row>
    <row r="812">
      <c r="G812" s="16"/>
      <c r="H812" s="17"/>
      <c r="L812" s="13"/>
    </row>
    <row r="813">
      <c r="G813" s="16"/>
      <c r="H813" s="17"/>
      <c r="L813" s="13"/>
    </row>
    <row r="814">
      <c r="G814" s="16"/>
      <c r="H814" s="17"/>
      <c r="L814" s="13"/>
    </row>
    <row r="815">
      <c r="G815" s="16"/>
      <c r="H815" s="17"/>
      <c r="L815" s="13"/>
    </row>
    <row r="816">
      <c r="G816" s="16"/>
      <c r="H816" s="17"/>
      <c r="L816" s="13"/>
    </row>
    <row r="817">
      <c r="G817" s="16"/>
      <c r="H817" s="17"/>
      <c r="L817" s="13"/>
    </row>
    <row r="818">
      <c r="G818" s="16"/>
      <c r="H818" s="17"/>
      <c r="L818" s="13"/>
    </row>
    <row r="819">
      <c r="G819" s="16"/>
      <c r="H819" s="17"/>
      <c r="L819" s="13"/>
    </row>
    <row r="820">
      <c r="G820" s="16"/>
      <c r="H820" s="17"/>
      <c r="L820" s="13"/>
    </row>
    <row r="821">
      <c r="G821" s="16"/>
      <c r="H821" s="17"/>
      <c r="L821" s="13"/>
    </row>
    <row r="822">
      <c r="G822" s="16"/>
      <c r="H822" s="17"/>
      <c r="L822" s="13"/>
    </row>
    <row r="823">
      <c r="G823" s="16"/>
      <c r="H823" s="17"/>
      <c r="L823" s="13"/>
    </row>
    <row r="824">
      <c r="G824" s="16"/>
      <c r="H824" s="17"/>
      <c r="L824" s="13"/>
    </row>
    <row r="825">
      <c r="G825" s="16"/>
      <c r="H825" s="17"/>
      <c r="L825" s="13"/>
    </row>
    <row r="826">
      <c r="G826" s="16"/>
      <c r="H826" s="17"/>
      <c r="L826" s="13"/>
    </row>
    <row r="827">
      <c r="G827" s="16"/>
      <c r="H827" s="17"/>
      <c r="L827" s="13"/>
    </row>
    <row r="828">
      <c r="G828" s="16"/>
      <c r="H828" s="17"/>
      <c r="L828" s="13"/>
    </row>
    <row r="829">
      <c r="G829" s="16"/>
      <c r="H829" s="17"/>
      <c r="L829" s="13"/>
    </row>
    <row r="830">
      <c r="G830" s="16"/>
      <c r="H830" s="17"/>
      <c r="L830" s="13"/>
    </row>
    <row r="831">
      <c r="G831" s="16"/>
      <c r="H831" s="17"/>
      <c r="L831" s="13"/>
    </row>
    <row r="832">
      <c r="G832" s="16"/>
      <c r="H832" s="17"/>
      <c r="L832" s="13"/>
    </row>
    <row r="833">
      <c r="G833" s="16"/>
      <c r="H833" s="17"/>
      <c r="L833" s="13"/>
    </row>
    <row r="834">
      <c r="G834" s="16"/>
      <c r="H834" s="17"/>
      <c r="L834" s="13"/>
    </row>
    <row r="835">
      <c r="G835" s="16"/>
      <c r="H835" s="17"/>
      <c r="L835" s="13"/>
    </row>
    <row r="836">
      <c r="G836" s="16"/>
      <c r="H836" s="17"/>
      <c r="L836" s="13"/>
    </row>
    <row r="837">
      <c r="G837" s="16"/>
      <c r="H837" s="17"/>
      <c r="L837" s="13"/>
    </row>
    <row r="838">
      <c r="G838" s="16"/>
      <c r="H838" s="17"/>
      <c r="L838" s="13"/>
    </row>
    <row r="839">
      <c r="G839" s="16"/>
      <c r="H839" s="17"/>
      <c r="L839" s="13"/>
    </row>
    <row r="840">
      <c r="G840" s="16"/>
      <c r="H840" s="17"/>
      <c r="L840" s="13"/>
    </row>
    <row r="841">
      <c r="G841" s="16"/>
      <c r="H841" s="17"/>
      <c r="L841" s="13"/>
    </row>
    <row r="842">
      <c r="G842" s="16"/>
      <c r="H842" s="17"/>
      <c r="L842" s="13"/>
    </row>
    <row r="843">
      <c r="G843" s="16"/>
      <c r="H843" s="17"/>
      <c r="L843" s="13"/>
    </row>
    <row r="844">
      <c r="G844" s="16"/>
      <c r="H844" s="17"/>
      <c r="L844" s="13"/>
    </row>
    <row r="845">
      <c r="G845" s="16"/>
      <c r="H845" s="17"/>
      <c r="L845" s="13"/>
    </row>
    <row r="846">
      <c r="G846" s="16"/>
      <c r="H846" s="17"/>
      <c r="L846" s="13"/>
    </row>
    <row r="847">
      <c r="G847" s="16"/>
      <c r="H847" s="17"/>
      <c r="L847" s="13"/>
    </row>
    <row r="848">
      <c r="G848" s="16"/>
      <c r="H848" s="17"/>
      <c r="L848" s="13"/>
    </row>
    <row r="849">
      <c r="G849" s="16"/>
      <c r="H849" s="17"/>
      <c r="L849" s="13"/>
    </row>
    <row r="850">
      <c r="G850" s="16"/>
      <c r="H850" s="17"/>
      <c r="L850" s="13"/>
    </row>
    <row r="851">
      <c r="G851" s="16"/>
      <c r="H851" s="17"/>
      <c r="L851" s="13"/>
    </row>
    <row r="852">
      <c r="G852" s="16"/>
      <c r="H852" s="17"/>
      <c r="L852" s="13"/>
    </row>
    <row r="853">
      <c r="G853" s="16"/>
      <c r="H853" s="17"/>
      <c r="L853" s="13"/>
    </row>
    <row r="854">
      <c r="G854" s="16"/>
      <c r="H854" s="17"/>
      <c r="L854" s="13"/>
    </row>
    <row r="855">
      <c r="G855" s="16"/>
      <c r="H855" s="17"/>
      <c r="L855" s="13"/>
    </row>
    <row r="856">
      <c r="G856" s="16"/>
      <c r="H856" s="17"/>
      <c r="L856" s="13"/>
    </row>
    <row r="857">
      <c r="G857" s="16"/>
      <c r="H857" s="17"/>
      <c r="L857" s="13"/>
    </row>
    <row r="858">
      <c r="G858" s="16"/>
      <c r="H858" s="17"/>
      <c r="L858" s="13"/>
    </row>
    <row r="859">
      <c r="G859" s="16"/>
      <c r="H859" s="17"/>
      <c r="L859" s="13"/>
    </row>
    <row r="860">
      <c r="G860" s="16"/>
      <c r="H860" s="17"/>
      <c r="L860" s="13"/>
    </row>
    <row r="861">
      <c r="G861" s="16"/>
      <c r="H861" s="17"/>
      <c r="L861" s="13"/>
    </row>
    <row r="862">
      <c r="G862" s="16"/>
      <c r="H862" s="17"/>
      <c r="L862" s="13"/>
    </row>
    <row r="863">
      <c r="G863" s="16"/>
      <c r="H863" s="17"/>
      <c r="L863" s="13"/>
    </row>
    <row r="864">
      <c r="G864" s="16"/>
      <c r="H864" s="17"/>
      <c r="L864" s="13"/>
    </row>
    <row r="865">
      <c r="G865" s="16"/>
      <c r="H865" s="17"/>
      <c r="L865" s="13"/>
    </row>
    <row r="866">
      <c r="G866" s="16"/>
      <c r="H866" s="17"/>
      <c r="L866" s="13"/>
    </row>
    <row r="867">
      <c r="G867" s="16"/>
      <c r="H867" s="17"/>
      <c r="L867" s="13"/>
    </row>
    <row r="868">
      <c r="G868" s="16"/>
      <c r="H868" s="17"/>
      <c r="L868" s="13"/>
    </row>
    <row r="869">
      <c r="G869" s="16"/>
      <c r="H869" s="17"/>
      <c r="L869" s="13"/>
    </row>
    <row r="870">
      <c r="G870" s="16"/>
      <c r="H870" s="17"/>
      <c r="L870" s="13"/>
    </row>
    <row r="871">
      <c r="G871" s="16"/>
      <c r="H871" s="17"/>
      <c r="L871" s="13"/>
    </row>
    <row r="872">
      <c r="G872" s="16"/>
      <c r="H872" s="17"/>
      <c r="L872" s="13"/>
    </row>
    <row r="873">
      <c r="G873" s="16"/>
      <c r="H873" s="17"/>
      <c r="L873" s="13"/>
    </row>
    <row r="874">
      <c r="G874" s="16"/>
      <c r="H874" s="17"/>
      <c r="L874" s="13"/>
    </row>
    <row r="875">
      <c r="G875" s="16"/>
      <c r="H875" s="17"/>
      <c r="L875" s="13"/>
    </row>
    <row r="876">
      <c r="G876" s="16"/>
      <c r="H876" s="17"/>
      <c r="L876" s="13"/>
    </row>
    <row r="877">
      <c r="G877" s="16"/>
      <c r="H877" s="17"/>
      <c r="L877" s="13"/>
    </row>
    <row r="878">
      <c r="G878" s="16"/>
      <c r="H878" s="17"/>
      <c r="L878" s="13"/>
    </row>
    <row r="879">
      <c r="G879" s="16"/>
      <c r="H879" s="17"/>
      <c r="L879" s="13"/>
    </row>
    <row r="880">
      <c r="G880" s="16"/>
      <c r="H880" s="17"/>
      <c r="L880" s="13"/>
    </row>
    <row r="881">
      <c r="G881" s="16"/>
      <c r="H881" s="17"/>
      <c r="L881" s="13"/>
    </row>
    <row r="882">
      <c r="G882" s="16"/>
      <c r="H882" s="17"/>
      <c r="L882" s="13"/>
    </row>
    <row r="883">
      <c r="G883" s="16"/>
      <c r="H883" s="17"/>
      <c r="L883" s="13"/>
    </row>
    <row r="884">
      <c r="G884" s="16"/>
      <c r="H884" s="17"/>
      <c r="L884" s="13"/>
    </row>
    <row r="885">
      <c r="G885" s="16"/>
      <c r="H885" s="17"/>
      <c r="L885" s="13"/>
    </row>
    <row r="886">
      <c r="G886" s="16"/>
      <c r="H886" s="17"/>
      <c r="L886" s="13"/>
    </row>
    <row r="887">
      <c r="G887" s="16"/>
      <c r="H887" s="17"/>
      <c r="L887" s="13"/>
    </row>
    <row r="888">
      <c r="G888" s="16"/>
      <c r="H888" s="17"/>
      <c r="L888" s="13"/>
    </row>
    <row r="889">
      <c r="G889" s="16"/>
      <c r="H889" s="17"/>
      <c r="L889" s="13"/>
    </row>
    <row r="890">
      <c r="G890" s="16"/>
      <c r="H890" s="17"/>
      <c r="L890" s="13"/>
    </row>
    <row r="891">
      <c r="G891" s="16"/>
      <c r="H891" s="17"/>
      <c r="L891" s="13"/>
    </row>
    <row r="892">
      <c r="G892" s="16"/>
      <c r="H892" s="17"/>
      <c r="L892" s="13"/>
    </row>
    <row r="893">
      <c r="G893" s="16"/>
      <c r="H893" s="17"/>
      <c r="L893" s="13"/>
    </row>
    <row r="894">
      <c r="G894" s="16"/>
      <c r="H894" s="17"/>
      <c r="L894" s="13"/>
    </row>
    <row r="895">
      <c r="G895" s="16"/>
      <c r="H895" s="17"/>
      <c r="L895" s="13"/>
    </row>
    <row r="896">
      <c r="G896" s="16"/>
      <c r="H896" s="17"/>
      <c r="L896" s="13"/>
    </row>
    <row r="897">
      <c r="G897" s="16"/>
      <c r="H897" s="17"/>
      <c r="L897" s="13"/>
    </row>
    <row r="898">
      <c r="G898" s="16"/>
      <c r="H898" s="17"/>
      <c r="L898" s="13"/>
    </row>
    <row r="899">
      <c r="G899" s="16"/>
      <c r="H899" s="17"/>
      <c r="L899" s="13"/>
    </row>
    <row r="900">
      <c r="G900" s="16"/>
      <c r="H900" s="17"/>
      <c r="L900" s="13"/>
    </row>
    <row r="901">
      <c r="G901" s="16"/>
      <c r="H901" s="17"/>
      <c r="L901" s="13"/>
    </row>
    <row r="902">
      <c r="G902" s="16"/>
      <c r="H902" s="17"/>
      <c r="L902" s="13"/>
    </row>
    <row r="903">
      <c r="G903" s="16"/>
      <c r="H903" s="17"/>
      <c r="L903" s="13"/>
    </row>
    <row r="904">
      <c r="G904" s="16"/>
      <c r="H904" s="17"/>
      <c r="L904" s="13"/>
    </row>
    <row r="905">
      <c r="G905" s="16"/>
      <c r="H905" s="17"/>
      <c r="L905" s="13"/>
    </row>
    <row r="906">
      <c r="G906" s="16"/>
      <c r="H906" s="17"/>
      <c r="L906" s="13"/>
    </row>
    <row r="907">
      <c r="G907" s="16"/>
      <c r="H907" s="17"/>
      <c r="L907" s="13"/>
    </row>
    <row r="908">
      <c r="G908" s="16"/>
      <c r="H908" s="17"/>
      <c r="L908" s="13"/>
    </row>
    <row r="909">
      <c r="G909" s="16"/>
      <c r="H909" s="17"/>
      <c r="L909" s="13"/>
    </row>
    <row r="910">
      <c r="G910" s="16"/>
      <c r="H910" s="17"/>
      <c r="L910" s="13"/>
    </row>
    <row r="911">
      <c r="G911" s="16"/>
      <c r="H911" s="17"/>
      <c r="L911" s="13"/>
    </row>
    <row r="912">
      <c r="G912" s="16"/>
      <c r="H912" s="17"/>
      <c r="L912" s="13"/>
    </row>
    <row r="913">
      <c r="G913" s="16"/>
      <c r="H913" s="17"/>
      <c r="L913" s="13"/>
    </row>
    <row r="914">
      <c r="G914" s="16"/>
      <c r="H914" s="17"/>
      <c r="L914" s="13"/>
    </row>
    <row r="915">
      <c r="G915" s="16"/>
      <c r="H915" s="17"/>
      <c r="L915" s="13"/>
    </row>
    <row r="916">
      <c r="G916" s="16"/>
      <c r="H916" s="17"/>
      <c r="L916" s="13"/>
    </row>
    <row r="917">
      <c r="G917" s="16"/>
      <c r="H917" s="17"/>
      <c r="L917" s="13"/>
    </row>
    <row r="918">
      <c r="G918" s="16"/>
      <c r="H918" s="17"/>
      <c r="L918" s="13"/>
    </row>
    <row r="919">
      <c r="G919" s="16"/>
      <c r="H919" s="17"/>
      <c r="L919" s="13"/>
    </row>
    <row r="920">
      <c r="G920" s="16"/>
      <c r="H920" s="17"/>
      <c r="L920" s="13"/>
    </row>
    <row r="921">
      <c r="G921" s="16"/>
      <c r="H921" s="17"/>
      <c r="L921" s="13"/>
    </row>
    <row r="922">
      <c r="G922" s="16"/>
      <c r="H922" s="17"/>
      <c r="L922" s="13"/>
    </row>
    <row r="923">
      <c r="G923" s="16"/>
      <c r="H923" s="17"/>
      <c r="L923" s="13"/>
    </row>
    <row r="924">
      <c r="G924" s="16"/>
      <c r="H924" s="17"/>
      <c r="L924" s="13"/>
    </row>
    <row r="925">
      <c r="G925" s="16"/>
      <c r="H925" s="17"/>
      <c r="L925" s="13"/>
    </row>
    <row r="926">
      <c r="G926" s="16"/>
      <c r="H926" s="17"/>
      <c r="L926" s="13"/>
    </row>
    <row r="927">
      <c r="G927" s="16"/>
      <c r="H927" s="17"/>
      <c r="L927" s="13"/>
    </row>
    <row r="928">
      <c r="G928" s="16"/>
      <c r="H928" s="17"/>
      <c r="L928" s="13"/>
    </row>
    <row r="929">
      <c r="G929" s="16"/>
      <c r="H929" s="17"/>
      <c r="L929" s="13"/>
    </row>
    <row r="930">
      <c r="G930" s="16"/>
      <c r="H930" s="17"/>
      <c r="L930" s="13"/>
    </row>
    <row r="931">
      <c r="G931" s="16"/>
      <c r="H931" s="17"/>
      <c r="L931" s="13"/>
    </row>
    <row r="932">
      <c r="G932" s="16"/>
      <c r="H932" s="17"/>
      <c r="L932" s="13"/>
    </row>
    <row r="933">
      <c r="G933" s="16"/>
      <c r="H933" s="17"/>
      <c r="L933" s="13"/>
    </row>
    <row r="934">
      <c r="G934" s="16"/>
      <c r="H934" s="17"/>
      <c r="L934" s="13"/>
    </row>
    <row r="935">
      <c r="G935" s="16"/>
      <c r="H935" s="17"/>
      <c r="L935" s="13"/>
    </row>
    <row r="936">
      <c r="G936" s="16"/>
      <c r="H936" s="17"/>
      <c r="L936" s="13"/>
    </row>
    <row r="937">
      <c r="G937" s="16"/>
      <c r="H937" s="17"/>
      <c r="L937" s="13"/>
    </row>
    <row r="938">
      <c r="G938" s="16"/>
      <c r="H938" s="17"/>
      <c r="L938" s="13"/>
    </row>
    <row r="939">
      <c r="G939" s="16"/>
      <c r="H939" s="17"/>
      <c r="L939" s="13"/>
    </row>
    <row r="940">
      <c r="G940" s="16"/>
      <c r="H940" s="17"/>
      <c r="L940" s="13"/>
    </row>
    <row r="941">
      <c r="G941" s="16"/>
      <c r="H941" s="17"/>
      <c r="L941" s="13"/>
    </row>
    <row r="942">
      <c r="G942" s="16"/>
      <c r="H942" s="17"/>
      <c r="L942" s="13"/>
    </row>
    <row r="943">
      <c r="G943" s="16"/>
      <c r="H943" s="17"/>
      <c r="L943" s="13"/>
    </row>
    <row r="944">
      <c r="G944" s="16"/>
      <c r="H944" s="17"/>
      <c r="L944" s="13"/>
    </row>
    <row r="945">
      <c r="G945" s="16"/>
      <c r="H945" s="17"/>
      <c r="L945" s="13"/>
    </row>
    <row r="946">
      <c r="G946" s="16"/>
      <c r="H946" s="17"/>
      <c r="L946" s="13"/>
    </row>
    <row r="947">
      <c r="G947" s="16"/>
      <c r="H947" s="17"/>
      <c r="L947" s="13"/>
    </row>
    <row r="948">
      <c r="G948" s="16"/>
      <c r="H948" s="17"/>
      <c r="L948" s="13"/>
    </row>
    <row r="949">
      <c r="G949" s="16"/>
      <c r="H949" s="17"/>
      <c r="L949" s="13"/>
    </row>
    <row r="950">
      <c r="G950" s="16"/>
      <c r="H950" s="17"/>
      <c r="L950" s="13"/>
    </row>
    <row r="951">
      <c r="G951" s="16"/>
      <c r="H951" s="17"/>
      <c r="L951" s="13"/>
    </row>
    <row r="952">
      <c r="G952" s="16"/>
      <c r="H952" s="17"/>
      <c r="L952" s="13"/>
    </row>
    <row r="953">
      <c r="G953" s="16"/>
      <c r="H953" s="17"/>
      <c r="L953" s="13"/>
    </row>
    <row r="954">
      <c r="G954" s="16"/>
      <c r="H954" s="17"/>
      <c r="L954" s="13"/>
    </row>
    <row r="955">
      <c r="G955" s="16"/>
      <c r="H955" s="17"/>
      <c r="L955" s="13"/>
    </row>
    <row r="956">
      <c r="G956" s="16"/>
      <c r="H956" s="17"/>
      <c r="L956" s="13"/>
    </row>
    <row r="957">
      <c r="G957" s="16"/>
      <c r="H957" s="17"/>
      <c r="L957" s="13"/>
    </row>
    <row r="958">
      <c r="G958" s="16"/>
      <c r="H958" s="17"/>
      <c r="L958" s="13"/>
    </row>
    <row r="959">
      <c r="G959" s="16"/>
      <c r="H959" s="17"/>
      <c r="L959" s="13"/>
    </row>
    <row r="960">
      <c r="G960" s="16"/>
      <c r="H960" s="17"/>
      <c r="L960" s="13"/>
    </row>
    <row r="961">
      <c r="G961" s="16"/>
      <c r="H961" s="17"/>
      <c r="L961" s="13"/>
    </row>
    <row r="962">
      <c r="G962" s="16"/>
      <c r="H962" s="17"/>
      <c r="L962" s="13"/>
    </row>
    <row r="963">
      <c r="G963" s="16"/>
      <c r="H963" s="17"/>
      <c r="L963" s="13"/>
    </row>
    <row r="964">
      <c r="G964" s="16"/>
      <c r="H964" s="17"/>
      <c r="L964" s="13"/>
    </row>
    <row r="965">
      <c r="G965" s="16"/>
      <c r="H965" s="17"/>
      <c r="L965" s="13"/>
    </row>
    <row r="966">
      <c r="G966" s="16"/>
      <c r="H966" s="17"/>
      <c r="L966" s="13"/>
    </row>
    <row r="967">
      <c r="G967" s="16"/>
      <c r="H967" s="17"/>
      <c r="L967" s="13"/>
    </row>
    <row r="968">
      <c r="G968" s="16"/>
      <c r="H968" s="17"/>
      <c r="L968" s="13"/>
    </row>
    <row r="969">
      <c r="G969" s="16"/>
      <c r="H969" s="17"/>
      <c r="L969" s="13"/>
    </row>
    <row r="970">
      <c r="L970" s="13"/>
    </row>
    <row r="971">
      <c r="L971" s="13"/>
    </row>
    <row r="972">
      <c r="L972" s="13"/>
    </row>
    <row r="973">
      <c r="L973" s="13"/>
    </row>
    <row r="974">
      <c r="L974" s="13"/>
    </row>
    <row r="975">
      <c r="L975" s="13"/>
    </row>
    <row r="976">
      <c r="L976" s="13"/>
    </row>
    <row r="977">
      <c r="L977" s="13"/>
    </row>
    <row r="978">
      <c r="L978" s="13"/>
    </row>
    <row r="979">
      <c r="L979" s="13"/>
    </row>
    <row r="980">
      <c r="L980" s="13"/>
    </row>
    <row r="981">
      <c r="L981" s="13"/>
    </row>
    <row r="982">
      <c r="L982" s="13"/>
    </row>
    <row r="983">
      <c r="L983" s="13"/>
    </row>
    <row r="984">
      <c r="L984" s="13"/>
    </row>
    <row r="985">
      <c r="L985" s="13"/>
    </row>
    <row r="986">
      <c r="L986" s="13"/>
    </row>
    <row r="987">
      <c r="L987" s="13"/>
    </row>
    <row r="988">
      <c r="L988" s="13"/>
    </row>
    <row r="989">
      <c r="L989" s="13"/>
    </row>
    <row r="990">
      <c r="L990" s="13"/>
    </row>
    <row r="991">
      <c r="L991" s="13"/>
    </row>
    <row r="992">
      <c r="L992" s="13"/>
    </row>
    <row r="993">
      <c r="L993" s="13"/>
    </row>
    <row r="994">
      <c r="L994" s="13"/>
    </row>
    <row r="995">
      <c r="L995" s="13"/>
    </row>
    <row r="996">
      <c r="L996" s="13"/>
    </row>
    <row r="997">
      <c r="L997" s="13"/>
    </row>
    <row r="998">
      <c r="L998" s="13"/>
    </row>
    <row r="999">
      <c r="L999" s="13"/>
    </row>
    <row r="1000">
      <c r="L1000" s="13"/>
    </row>
    <row r="1001">
      <c r="L1001" s="13"/>
    </row>
  </sheetData>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6.38"/>
    <col customWidth="1" min="7" max="7" width="28.25"/>
  </cols>
  <sheetData>
    <row r="1">
      <c r="A1" s="18" t="s">
        <v>3</v>
      </c>
      <c r="B1" s="18" t="s">
        <v>13</v>
      </c>
      <c r="C1" s="9" t="s">
        <v>4</v>
      </c>
      <c r="D1" s="12" t="s">
        <v>5</v>
      </c>
      <c r="E1" s="3" t="s">
        <v>14</v>
      </c>
      <c r="F1" s="3" t="s">
        <v>15</v>
      </c>
      <c r="G1" s="3" t="s">
        <v>16</v>
      </c>
      <c r="H1" s="19" t="s">
        <v>17</v>
      </c>
      <c r="I1" s="3" t="s">
        <v>18</v>
      </c>
      <c r="K1" s="2"/>
    </row>
    <row r="2">
      <c r="A2" s="18">
        <v>42002.95681712963</v>
      </c>
      <c r="B2" s="18">
        <v>42003.31265046296</v>
      </c>
      <c r="C2" s="9">
        <v>1.0</v>
      </c>
      <c r="D2" s="12">
        <v>0.35555555555555557</v>
      </c>
      <c r="E2" s="3" t="s">
        <v>19</v>
      </c>
      <c r="F2" s="3" t="str">
        <f t="shared" ref="F2:F32" si="1">IF(E2=":)", "Good", IF(E2=":|", "Neutral", "Unknown"))</f>
        <v>Good</v>
      </c>
      <c r="G2" s="3" t="s">
        <v>20</v>
      </c>
      <c r="H2" s="19">
        <v>59.0</v>
      </c>
      <c r="I2" s="3">
        <v>0.0</v>
      </c>
    </row>
    <row r="3">
      <c r="A3" s="18">
        <v>42003.88738425926</v>
      </c>
      <c r="B3" s="18">
        <v>42003.89854166667</v>
      </c>
      <c r="C3" s="9">
        <v>0.03</v>
      </c>
      <c r="D3" s="12">
        <v>0.011111111111111112</v>
      </c>
      <c r="E3" s="3" t="s">
        <v>21</v>
      </c>
      <c r="F3" s="3" t="str">
        <f t="shared" si="1"/>
        <v>Neutral</v>
      </c>
      <c r="G3" s="3" t="s">
        <v>22</v>
      </c>
      <c r="H3" s="19">
        <v>72.0</v>
      </c>
      <c r="I3" s="3">
        <v>0.0</v>
      </c>
    </row>
    <row r="4">
      <c r="A4" s="18">
        <v>42003.94640046296</v>
      </c>
      <c r="B4" s="18">
        <v>42004.30105324074</v>
      </c>
      <c r="C4" s="9">
        <v>0.98</v>
      </c>
      <c r="D4" s="12">
        <v>0.3541666666666667</v>
      </c>
      <c r="E4" s="3" t="s">
        <v>21</v>
      </c>
      <c r="F4" s="3" t="str">
        <f t="shared" si="1"/>
        <v>Neutral</v>
      </c>
      <c r="G4" s="3" t="s">
        <v>20</v>
      </c>
      <c r="H4" s="19">
        <v>57.0</v>
      </c>
      <c r="I4" s="3">
        <v>0.0</v>
      </c>
    </row>
    <row r="5">
      <c r="A5" s="18">
        <v>42004.938206018516</v>
      </c>
      <c r="B5" s="18">
        <v>42005.25209490741</v>
      </c>
      <c r="C5" s="9">
        <v>0.65</v>
      </c>
      <c r="D5" s="12">
        <v>0.3138888888888889</v>
      </c>
      <c r="E5" s="3" t="s">
        <v>20</v>
      </c>
      <c r="F5" s="3" t="str">
        <f t="shared" si="1"/>
        <v>Unknown</v>
      </c>
      <c r="G5" s="3" t="s">
        <v>20</v>
      </c>
      <c r="H5" s="19" t="s">
        <v>20</v>
      </c>
      <c r="I5" s="3">
        <v>0.0</v>
      </c>
    </row>
    <row r="6">
      <c r="A6" s="18">
        <v>42005.92511574074</v>
      </c>
      <c r="B6" s="18">
        <v>42006.20596064815</v>
      </c>
      <c r="C6" s="9">
        <v>0.72</v>
      </c>
      <c r="D6" s="12">
        <v>0.28055555555555556</v>
      </c>
      <c r="E6" s="3" t="s">
        <v>19</v>
      </c>
      <c r="F6" s="3" t="str">
        <f t="shared" si="1"/>
        <v>Good</v>
      </c>
      <c r="G6" s="3" t="s">
        <v>23</v>
      </c>
      <c r="H6" s="19">
        <v>68.0</v>
      </c>
      <c r="I6" s="3">
        <v>0.0</v>
      </c>
    </row>
    <row r="7">
      <c r="A7" s="18">
        <v>42007.02427083333</v>
      </c>
      <c r="B7" s="18">
        <v>42007.32457175926</v>
      </c>
      <c r="C7" s="9">
        <v>0.83</v>
      </c>
      <c r="D7" s="12">
        <v>0.3</v>
      </c>
      <c r="E7" s="3" t="s">
        <v>19</v>
      </c>
      <c r="F7" s="3" t="str">
        <f t="shared" si="1"/>
        <v>Good</v>
      </c>
      <c r="G7" s="3" t="s">
        <v>23</v>
      </c>
      <c r="H7" s="19">
        <v>60.0</v>
      </c>
      <c r="I7" s="3">
        <v>0.0</v>
      </c>
    </row>
    <row r="8">
      <c r="A8" s="18">
        <v>42008.01604166667</v>
      </c>
      <c r="B8" s="18">
        <v>42008.317465277774</v>
      </c>
      <c r="C8" s="9">
        <v>0.78</v>
      </c>
      <c r="D8" s="12">
        <v>0.3013888888888889</v>
      </c>
      <c r="E8" s="3" t="s">
        <v>20</v>
      </c>
      <c r="F8" s="3" t="str">
        <f t="shared" si="1"/>
        <v>Unknown</v>
      </c>
      <c r="G8" s="3" t="s">
        <v>24</v>
      </c>
      <c r="H8" s="19" t="s">
        <v>20</v>
      </c>
      <c r="I8" s="3">
        <v>0.0</v>
      </c>
    </row>
    <row r="9">
      <c r="A9" s="18">
        <v>42008.89912037037</v>
      </c>
      <c r="B9" s="18">
        <v>42009.20386574074</v>
      </c>
      <c r="C9" s="9">
        <v>0.78</v>
      </c>
      <c r="D9" s="12">
        <v>0.30416666666666664</v>
      </c>
      <c r="E9" s="3" t="s">
        <v>19</v>
      </c>
      <c r="F9" s="3" t="str">
        <f t="shared" si="1"/>
        <v>Good</v>
      </c>
      <c r="G9" s="3" t="s">
        <v>25</v>
      </c>
      <c r="H9" s="19">
        <v>57.0</v>
      </c>
      <c r="I9" s="3">
        <v>0.0</v>
      </c>
    </row>
    <row r="10">
      <c r="A10" s="18">
        <v>42009.897511574076</v>
      </c>
      <c r="B10" s="18">
        <v>42010.20836805556</v>
      </c>
      <c r="C10" s="9">
        <v>0.69</v>
      </c>
      <c r="D10" s="12">
        <v>0.3104166666666667</v>
      </c>
      <c r="E10" s="3" t="s">
        <v>19</v>
      </c>
      <c r="F10" s="3" t="str">
        <f t="shared" si="1"/>
        <v>Good</v>
      </c>
      <c r="G10" s="3" t="s">
        <v>26</v>
      </c>
      <c r="H10" s="19">
        <v>56.0</v>
      </c>
      <c r="I10" s="3">
        <v>0.0</v>
      </c>
    </row>
    <row r="11">
      <c r="A11" s="18">
        <v>42010.89231481482</v>
      </c>
      <c r="B11" s="18">
        <v>42011.20835648148</v>
      </c>
      <c r="C11" s="9">
        <v>0.74</v>
      </c>
      <c r="D11" s="12">
        <v>0.3159722222222222</v>
      </c>
      <c r="E11" s="3" t="s">
        <v>21</v>
      </c>
      <c r="F11" s="3" t="str">
        <f t="shared" si="1"/>
        <v>Neutral</v>
      </c>
      <c r="G11" s="3" t="s">
        <v>27</v>
      </c>
      <c r="H11" s="19">
        <v>64.0</v>
      </c>
      <c r="I11" s="3">
        <v>0.0</v>
      </c>
    </row>
    <row r="12">
      <c r="A12" s="18">
        <v>42011.874976851854</v>
      </c>
      <c r="B12" s="18">
        <v>42012.26342592593</v>
      </c>
      <c r="C12" s="9">
        <v>0.81</v>
      </c>
      <c r="D12" s="12">
        <v>0.38819444444444445</v>
      </c>
      <c r="E12" s="3" t="s">
        <v>19</v>
      </c>
      <c r="F12" s="3" t="str">
        <f t="shared" si="1"/>
        <v>Good</v>
      </c>
      <c r="G12" s="3" t="s">
        <v>28</v>
      </c>
      <c r="H12" s="19">
        <v>62.0</v>
      </c>
      <c r="I12" s="3">
        <v>0.0</v>
      </c>
    </row>
    <row r="13">
      <c r="A13" s="18">
        <v>42012.95715277778</v>
      </c>
      <c r="B13" s="18">
        <v>42013.26039351852</v>
      </c>
      <c r="C13" s="9">
        <v>0.88</v>
      </c>
      <c r="D13" s="12">
        <v>0.30277777777777776</v>
      </c>
      <c r="E13" s="3" t="s">
        <v>19</v>
      </c>
      <c r="F13" s="3" t="str">
        <f t="shared" si="1"/>
        <v>Good</v>
      </c>
      <c r="G13" s="3" t="s">
        <v>23</v>
      </c>
      <c r="H13" s="19">
        <v>58.0</v>
      </c>
      <c r="I13" s="3">
        <v>0.0</v>
      </c>
    </row>
    <row r="14">
      <c r="A14" s="18">
        <v>42013.93608796296</v>
      </c>
      <c r="B14" s="18">
        <v>42014.31180555555</v>
      </c>
      <c r="C14" s="9">
        <v>0.77</v>
      </c>
      <c r="D14" s="12">
        <v>0.37569444444444444</v>
      </c>
      <c r="E14" s="3" t="s">
        <v>21</v>
      </c>
      <c r="F14" s="3" t="str">
        <f t="shared" si="1"/>
        <v>Neutral</v>
      </c>
      <c r="G14" s="3" t="s">
        <v>23</v>
      </c>
      <c r="H14" s="19">
        <v>65.0</v>
      </c>
      <c r="I14" s="3">
        <v>0.0</v>
      </c>
    </row>
    <row r="15">
      <c r="A15" s="18">
        <v>42014.943333333336</v>
      </c>
      <c r="B15" s="18">
        <v>42015.311793981484</v>
      </c>
      <c r="C15" s="9">
        <v>0.89</v>
      </c>
      <c r="D15" s="12">
        <v>0.3680555555555556</v>
      </c>
      <c r="E15" s="3" t="s">
        <v>21</v>
      </c>
      <c r="F15" s="3" t="str">
        <f t="shared" si="1"/>
        <v>Neutral</v>
      </c>
      <c r="G15" s="3" t="s">
        <v>23</v>
      </c>
      <c r="H15" s="19">
        <v>65.0</v>
      </c>
      <c r="I15" s="3">
        <v>0.0</v>
      </c>
    </row>
    <row r="16">
      <c r="A16" s="18">
        <v>42015.92508101852</v>
      </c>
      <c r="B16" s="18">
        <v>42016.26422453704</v>
      </c>
      <c r="C16" s="9">
        <v>0.78</v>
      </c>
      <c r="D16" s="12">
        <v>0.3388888888888889</v>
      </c>
      <c r="E16" s="3" t="s">
        <v>19</v>
      </c>
      <c r="F16" s="3" t="str">
        <f t="shared" si="1"/>
        <v>Good</v>
      </c>
      <c r="G16" s="3" t="s">
        <v>24</v>
      </c>
      <c r="H16" s="19">
        <v>53.0</v>
      </c>
      <c r="I16" s="3">
        <v>0.0</v>
      </c>
    </row>
    <row r="17">
      <c r="A17" s="18">
        <v>42016.876226851855</v>
      </c>
      <c r="B17" s="18">
        <v>42017.25929398148</v>
      </c>
      <c r="C17" s="9">
        <v>1.0</v>
      </c>
      <c r="D17" s="12">
        <v>0.38263888888888886</v>
      </c>
      <c r="E17" s="3" t="s">
        <v>19</v>
      </c>
      <c r="F17" s="3" t="str">
        <f t="shared" si="1"/>
        <v>Good</v>
      </c>
      <c r="G17" s="3" t="s">
        <v>27</v>
      </c>
      <c r="H17" s="19">
        <v>65.0</v>
      </c>
      <c r="I17" s="3">
        <v>0.0</v>
      </c>
    </row>
    <row r="18">
      <c r="A18" s="18">
        <v>42017.926724537036</v>
      </c>
      <c r="B18" s="18">
        <v>42018.26427083334</v>
      </c>
      <c r="C18" s="9">
        <v>1.0</v>
      </c>
      <c r="D18" s="12">
        <v>0.3375</v>
      </c>
      <c r="E18" s="3" t="s">
        <v>19</v>
      </c>
      <c r="F18" s="3" t="str">
        <f t="shared" si="1"/>
        <v>Good</v>
      </c>
      <c r="G18" s="3" t="s">
        <v>23</v>
      </c>
      <c r="H18" s="19">
        <v>55.0</v>
      </c>
      <c r="I18" s="3">
        <v>0.0</v>
      </c>
    </row>
    <row r="19">
      <c r="A19" s="18">
        <v>42018.908634259256</v>
      </c>
      <c r="B19" s="18">
        <v>42019.20978009259</v>
      </c>
      <c r="C19" s="9">
        <v>0.88</v>
      </c>
      <c r="D19" s="12">
        <v>0.30069444444444443</v>
      </c>
      <c r="E19" s="3" t="s">
        <v>19</v>
      </c>
      <c r="F19" s="3" t="str">
        <f t="shared" si="1"/>
        <v>Good</v>
      </c>
      <c r="G19" s="3" t="s">
        <v>26</v>
      </c>
      <c r="H19" s="19">
        <v>60.0</v>
      </c>
      <c r="I19" s="3">
        <v>0.0</v>
      </c>
    </row>
    <row r="20">
      <c r="A20" s="18">
        <v>42019.89730324074</v>
      </c>
      <c r="B20" s="18">
        <v>42020.20465277778</v>
      </c>
      <c r="C20" s="9">
        <v>0.87</v>
      </c>
      <c r="D20" s="12">
        <v>0.30694444444444446</v>
      </c>
      <c r="E20" s="3" t="s">
        <v>19</v>
      </c>
      <c r="F20" s="3" t="str">
        <f t="shared" si="1"/>
        <v>Good</v>
      </c>
      <c r="G20" s="3" t="s">
        <v>24</v>
      </c>
      <c r="H20" s="19">
        <v>60.0</v>
      </c>
      <c r="I20" s="3">
        <v>0.0</v>
      </c>
    </row>
    <row r="21">
      <c r="A21" s="18">
        <v>42021.091631944444</v>
      </c>
      <c r="B21" s="18">
        <v>42021.37751157407</v>
      </c>
      <c r="C21" s="9">
        <v>0.83</v>
      </c>
      <c r="D21" s="12">
        <v>0.28541666666666665</v>
      </c>
      <c r="E21" s="3" t="s">
        <v>19</v>
      </c>
      <c r="F21" s="3" t="str">
        <f t="shared" si="1"/>
        <v>Good</v>
      </c>
      <c r="G21" s="3" t="s">
        <v>23</v>
      </c>
      <c r="H21" s="19">
        <v>94.0</v>
      </c>
      <c r="I21" s="3">
        <v>0.0</v>
      </c>
    </row>
    <row r="22">
      <c r="A22" s="18">
        <v>42021.996712962966</v>
      </c>
      <c r="B22" s="18">
        <v>42022.324479166666</v>
      </c>
      <c r="C22" s="9">
        <v>0.93</v>
      </c>
      <c r="D22" s="12">
        <v>0.32708333333333334</v>
      </c>
      <c r="E22" s="3" t="s">
        <v>19</v>
      </c>
      <c r="F22" s="3" t="str">
        <f t="shared" si="1"/>
        <v>Good</v>
      </c>
      <c r="G22" s="3" t="s">
        <v>23</v>
      </c>
      <c r="H22" s="19">
        <v>57.0</v>
      </c>
      <c r="I22" s="3">
        <v>0.0</v>
      </c>
    </row>
    <row r="23">
      <c r="A23" s="18">
        <v>42022.91103009259</v>
      </c>
      <c r="B23" s="18">
        <v>42023.21131944445</v>
      </c>
      <c r="C23" s="9">
        <v>0.58</v>
      </c>
      <c r="D23" s="12">
        <v>0.3</v>
      </c>
      <c r="E23" s="3" t="s">
        <v>19</v>
      </c>
      <c r="F23" s="3" t="str">
        <f t="shared" si="1"/>
        <v>Good</v>
      </c>
      <c r="G23" s="3" t="s">
        <v>29</v>
      </c>
      <c r="H23" s="19">
        <v>67.0</v>
      </c>
      <c r="I23" s="3">
        <v>0.0</v>
      </c>
    </row>
    <row r="24">
      <c r="A24" s="18">
        <v>42023.21293981482</v>
      </c>
      <c r="B24" s="18">
        <v>42023.26422453704</v>
      </c>
      <c r="C24" s="9">
        <v>0.16</v>
      </c>
      <c r="D24" s="12">
        <v>0.050694444444444445</v>
      </c>
      <c r="E24" s="3" t="s">
        <v>19</v>
      </c>
      <c r="F24" s="3" t="str">
        <f t="shared" si="1"/>
        <v>Good</v>
      </c>
      <c r="G24" s="3" t="s">
        <v>20</v>
      </c>
      <c r="H24" s="19">
        <v>58.0</v>
      </c>
      <c r="I24" s="3">
        <v>0.0</v>
      </c>
    </row>
    <row r="25">
      <c r="A25" s="18">
        <v>42023.90646990741</v>
      </c>
      <c r="B25" s="18">
        <v>42024.240011574075</v>
      </c>
      <c r="C25" s="9">
        <v>0.75</v>
      </c>
      <c r="D25" s="12">
        <v>0.3333333333333333</v>
      </c>
      <c r="E25" s="3" t="s">
        <v>21</v>
      </c>
      <c r="F25" s="3" t="str">
        <f t="shared" si="1"/>
        <v>Neutral</v>
      </c>
      <c r="G25" s="3" t="s">
        <v>26</v>
      </c>
      <c r="H25" s="19">
        <v>54.0</v>
      </c>
      <c r="I25" s="3">
        <v>0.0</v>
      </c>
    </row>
    <row r="26">
      <c r="A26" s="18">
        <v>42024.904594907406</v>
      </c>
      <c r="B26" s="18">
        <v>42025.23983796296</v>
      </c>
      <c r="C26" s="9">
        <v>0.8</v>
      </c>
      <c r="D26" s="12">
        <v>0.3347222222222222</v>
      </c>
      <c r="E26" s="3" t="s">
        <v>21</v>
      </c>
      <c r="F26" s="3" t="str">
        <f t="shared" si="1"/>
        <v>Neutral</v>
      </c>
      <c r="G26" s="3" t="s">
        <v>26</v>
      </c>
      <c r="H26" s="19">
        <v>60.0</v>
      </c>
      <c r="I26" s="3">
        <v>0.0</v>
      </c>
    </row>
    <row r="27">
      <c r="A27" s="18">
        <v>42025.94068287037</v>
      </c>
      <c r="B27" s="18">
        <v>42026.26206018519</v>
      </c>
      <c r="C27" s="9">
        <v>0.87</v>
      </c>
      <c r="D27" s="12">
        <v>0.32083333333333336</v>
      </c>
      <c r="E27" s="3" t="s">
        <v>19</v>
      </c>
      <c r="F27" s="3" t="str">
        <f t="shared" si="1"/>
        <v>Good</v>
      </c>
      <c r="G27" s="3" t="s">
        <v>26</v>
      </c>
      <c r="H27" s="19">
        <v>75.0</v>
      </c>
      <c r="I27" s="3">
        <v>0.0</v>
      </c>
    </row>
    <row r="28">
      <c r="A28" s="18">
        <v>42029.87155092593</v>
      </c>
      <c r="B28" s="18">
        <v>42030.260405092595</v>
      </c>
      <c r="C28" s="9">
        <v>0.87</v>
      </c>
      <c r="D28" s="12">
        <v>0.38819444444444445</v>
      </c>
      <c r="E28" s="3" t="s">
        <v>19</v>
      </c>
      <c r="F28" s="3" t="str">
        <f t="shared" si="1"/>
        <v>Good</v>
      </c>
      <c r="G28" s="3" t="s">
        <v>29</v>
      </c>
      <c r="H28" s="19">
        <v>58.0</v>
      </c>
      <c r="I28" s="3">
        <v>0.0</v>
      </c>
    </row>
    <row r="29">
      <c r="A29" s="18">
        <v>42030.94190972222</v>
      </c>
      <c r="B29" s="18">
        <v>42031.258206018516</v>
      </c>
      <c r="C29" s="9">
        <v>0.83</v>
      </c>
      <c r="D29" s="12">
        <v>0.3159722222222222</v>
      </c>
      <c r="E29" s="3" t="s">
        <v>21</v>
      </c>
      <c r="F29" s="3" t="str">
        <f t="shared" si="1"/>
        <v>Neutral</v>
      </c>
      <c r="G29" s="3" t="s">
        <v>28</v>
      </c>
      <c r="H29" s="19">
        <v>66.0</v>
      </c>
      <c r="I29" s="3">
        <v>0.0</v>
      </c>
    </row>
    <row r="30">
      <c r="A30" s="18">
        <v>42032.9050462963</v>
      </c>
      <c r="B30" s="18">
        <v>42033.222708333335</v>
      </c>
      <c r="C30" s="9">
        <v>0.76</v>
      </c>
      <c r="D30" s="12">
        <v>0.3173611111111111</v>
      </c>
      <c r="E30" s="3" t="s">
        <v>19</v>
      </c>
      <c r="F30" s="3" t="str">
        <f t="shared" si="1"/>
        <v>Good</v>
      </c>
      <c r="G30" s="3" t="s">
        <v>28</v>
      </c>
      <c r="H30" s="19">
        <v>57.0</v>
      </c>
      <c r="I30" s="3">
        <v>0.0</v>
      </c>
    </row>
    <row r="31">
      <c r="A31" s="18">
        <v>42033.93310185185</v>
      </c>
      <c r="B31" s="18">
        <v>42034.22859953704</v>
      </c>
      <c r="C31" s="9">
        <v>0.67</v>
      </c>
      <c r="D31" s="12">
        <v>0.2951388888888889</v>
      </c>
      <c r="E31" s="3" t="s">
        <v>19</v>
      </c>
      <c r="F31" s="3" t="str">
        <f t="shared" si="1"/>
        <v>Good</v>
      </c>
      <c r="G31" s="3" t="s">
        <v>26</v>
      </c>
      <c r="H31" s="19">
        <v>63.0</v>
      </c>
      <c r="I31" s="3">
        <v>0.0</v>
      </c>
    </row>
    <row r="32">
      <c r="A32" s="18">
        <v>42035.009560185186</v>
      </c>
      <c r="B32" s="18">
        <v>42035.34548611111</v>
      </c>
      <c r="C32" s="9">
        <v>0.93</v>
      </c>
      <c r="D32" s="12">
        <v>0.33541666666666664</v>
      </c>
      <c r="E32" s="3" t="s">
        <v>19</v>
      </c>
      <c r="F32" s="3" t="str">
        <f t="shared" si="1"/>
        <v>Good</v>
      </c>
      <c r="G32" s="3" t="s">
        <v>28</v>
      </c>
      <c r="H32" s="19">
        <v>62.0</v>
      </c>
      <c r="I32" s="3">
        <v>0.0</v>
      </c>
    </row>
    <row r="33">
      <c r="A33" s="20"/>
      <c r="B33" s="20"/>
      <c r="C33" s="21"/>
      <c r="D33" s="3" t="s">
        <v>30</v>
      </c>
      <c r="H33" s="22"/>
    </row>
    <row r="34">
      <c r="A34" s="20"/>
      <c r="B34" s="20"/>
      <c r="C34" s="21"/>
      <c r="D34" s="23"/>
      <c r="H34" s="22"/>
    </row>
    <row r="35">
      <c r="A35" s="20"/>
      <c r="B35" s="20"/>
      <c r="C35" s="21"/>
      <c r="D35" s="23"/>
      <c r="H35" s="22"/>
    </row>
    <row r="36">
      <c r="A36" s="20"/>
      <c r="B36" s="20"/>
      <c r="C36" s="21"/>
      <c r="D36" s="23"/>
      <c r="H36" s="22"/>
    </row>
    <row r="37">
      <c r="A37" s="20"/>
      <c r="B37" s="20"/>
      <c r="C37" s="21"/>
      <c r="D37" s="23"/>
      <c r="H37" s="22"/>
    </row>
    <row r="38">
      <c r="A38" s="20"/>
      <c r="B38" s="20"/>
      <c r="C38" s="21"/>
      <c r="D38" s="23"/>
      <c r="H38" s="22"/>
    </row>
    <row r="39">
      <c r="A39" s="20"/>
      <c r="B39" s="20"/>
      <c r="C39" s="21"/>
      <c r="D39" s="23"/>
      <c r="H39" s="22"/>
    </row>
    <row r="40">
      <c r="A40" s="20"/>
      <c r="B40" s="20"/>
      <c r="C40" s="21"/>
      <c r="D40" s="23"/>
      <c r="H40" s="22"/>
    </row>
    <row r="41">
      <c r="A41" s="20"/>
      <c r="B41" s="20"/>
      <c r="C41" s="21"/>
      <c r="D41" s="23"/>
      <c r="H41" s="22"/>
    </row>
    <row r="42">
      <c r="A42" s="20"/>
      <c r="B42" s="20"/>
      <c r="C42" s="21"/>
      <c r="D42" s="23"/>
      <c r="H42" s="22"/>
    </row>
    <row r="43">
      <c r="A43" s="20"/>
      <c r="B43" s="20"/>
      <c r="C43" s="21"/>
      <c r="D43" s="23"/>
      <c r="H43" s="22"/>
    </row>
    <row r="44">
      <c r="A44" s="20"/>
      <c r="B44" s="20"/>
      <c r="C44" s="21"/>
      <c r="D44" s="23"/>
      <c r="H44" s="22"/>
    </row>
    <row r="45">
      <c r="A45" s="20"/>
      <c r="B45" s="20"/>
      <c r="C45" s="21"/>
      <c r="D45" s="23"/>
      <c r="H45" s="22"/>
    </row>
    <row r="46">
      <c r="A46" s="20"/>
      <c r="B46" s="20"/>
      <c r="C46" s="21"/>
      <c r="D46" s="23"/>
      <c r="H46" s="22"/>
    </row>
    <row r="47">
      <c r="A47" s="20"/>
      <c r="B47" s="20"/>
      <c r="C47" s="21"/>
      <c r="D47" s="23"/>
      <c r="H47" s="22"/>
    </row>
    <row r="48">
      <c r="A48" s="20"/>
      <c r="B48" s="20"/>
      <c r="C48" s="21"/>
      <c r="D48" s="23"/>
      <c r="H48" s="22"/>
    </row>
    <row r="49">
      <c r="A49" s="20"/>
      <c r="B49" s="20"/>
      <c r="C49" s="21"/>
      <c r="D49" s="23"/>
      <c r="H49" s="22"/>
    </row>
    <row r="50">
      <c r="A50" s="20"/>
      <c r="B50" s="20"/>
      <c r="C50" s="21"/>
      <c r="D50" s="23"/>
      <c r="H50" s="22"/>
    </row>
    <row r="51">
      <c r="A51" s="20"/>
      <c r="B51" s="20"/>
      <c r="C51" s="21"/>
      <c r="D51" s="23"/>
      <c r="H51" s="22"/>
    </row>
    <row r="52">
      <c r="A52" s="20"/>
      <c r="B52" s="20"/>
      <c r="C52" s="21"/>
      <c r="D52" s="23"/>
      <c r="H52" s="22"/>
    </row>
    <row r="53">
      <c r="A53" s="20"/>
      <c r="B53" s="20"/>
      <c r="C53" s="21"/>
      <c r="D53" s="23"/>
      <c r="H53" s="22"/>
    </row>
    <row r="54">
      <c r="A54" s="20"/>
      <c r="B54" s="20"/>
      <c r="C54" s="21"/>
      <c r="D54" s="23"/>
      <c r="H54" s="22"/>
    </row>
    <row r="55">
      <c r="A55" s="20"/>
      <c r="B55" s="20"/>
      <c r="C55" s="21"/>
      <c r="D55" s="23"/>
      <c r="H55" s="22"/>
    </row>
    <row r="56">
      <c r="A56" s="20"/>
      <c r="B56" s="20"/>
      <c r="C56" s="21"/>
      <c r="D56" s="23"/>
      <c r="H56" s="22"/>
    </row>
    <row r="57">
      <c r="A57" s="20"/>
      <c r="B57" s="20"/>
      <c r="C57" s="21"/>
      <c r="D57" s="23"/>
      <c r="H57" s="22"/>
    </row>
    <row r="58">
      <c r="A58" s="20"/>
      <c r="B58" s="20"/>
      <c r="C58" s="21"/>
      <c r="D58" s="23"/>
      <c r="H58" s="22"/>
    </row>
    <row r="59">
      <c r="A59" s="20"/>
      <c r="B59" s="20"/>
      <c r="C59" s="21"/>
      <c r="D59" s="23"/>
      <c r="H59" s="22"/>
    </row>
    <row r="60">
      <c r="A60" s="20"/>
      <c r="B60" s="20"/>
      <c r="C60" s="21"/>
      <c r="D60" s="23"/>
      <c r="H60" s="22"/>
    </row>
    <row r="61">
      <c r="A61" s="20"/>
      <c r="B61" s="20"/>
      <c r="C61" s="21"/>
      <c r="D61" s="23"/>
      <c r="H61" s="22"/>
    </row>
    <row r="62">
      <c r="A62" s="20"/>
      <c r="B62" s="20"/>
      <c r="C62" s="21"/>
      <c r="D62" s="23"/>
      <c r="H62" s="22"/>
    </row>
    <row r="63">
      <c r="A63" s="20"/>
      <c r="B63" s="20"/>
      <c r="C63" s="21"/>
      <c r="D63" s="23"/>
      <c r="H63" s="22"/>
    </row>
    <row r="64">
      <c r="A64" s="20"/>
      <c r="B64" s="20"/>
      <c r="C64" s="21"/>
      <c r="D64" s="23"/>
      <c r="H64" s="22"/>
    </row>
    <row r="65">
      <c r="A65" s="20"/>
      <c r="B65" s="20"/>
      <c r="C65" s="21"/>
      <c r="D65" s="23"/>
      <c r="H65" s="22"/>
    </row>
    <row r="66">
      <c r="A66" s="20"/>
      <c r="B66" s="20"/>
      <c r="C66" s="21"/>
      <c r="D66" s="23"/>
      <c r="H66" s="22"/>
    </row>
    <row r="67">
      <c r="A67" s="20"/>
      <c r="B67" s="20"/>
      <c r="C67" s="21"/>
      <c r="D67" s="23"/>
      <c r="H67" s="22"/>
    </row>
    <row r="68">
      <c r="A68" s="20"/>
      <c r="B68" s="20"/>
      <c r="C68" s="21"/>
      <c r="D68" s="23"/>
      <c r="H68" s="22"/>
    </row>
    <row r="69">
      <c r="A69" s="20"/>
      <c r="B69" s="20"/>
      <c r="C69" s="21"/>
      <c r="D69" s="23"/>
      <c r="H69" s="22"/>
    </row>
    <row r="70">
      <c r="A70" s="20"/>
      <c r="B70" s="20"/>
      <c r="C70" s="21"/>
      <c r="D70" s="23"/>
      <c r="H70" s="22"/>
    </row>
    <row r="71">
      <c r="A71" s="20"/>
      <c r="B71" s="20"/>
      <c r="C71" s="21"/>
      <c r="D71" s="23"/>
      <c r="H71" s="22"/>
    </row>
    <row r="72">
      <c r="A72" s="20"/>
      <c r="B72" s="20"/>
      <c r="C72" s="21"/>
      <c r="D72" s="23"/>
      <c r="H72" s="22"/>
    </row>
    <row r="73">
      <c r="A73" s="20"/>
      <c r="B73" s="20"/>
      <c r="C73" s="21"/>
      <c r="D73" s="23"/>
      <c r="H73" s="22"/>
    </row>
    <row r="74">
      <c r="A74" s="20"/>
      <c r="B74" s="20"/>
      <c r="C74" s="21"/>
      <c r="D74" s="23"/>
      <c r="H74" s="22"/>
    </row>
    <row r="75">
      <c r="A75" s="20"/>
      <c r="B75" s="20"/>
      <c r="C75" s="21"/>
      <c r="D75" s="23"/>
      <c r="H75" s="22"/>
    </row>
    <row r="76">
      <c r="A76" s="20"/>
      <c r="B76" s="20"/>
      <c r="C76" s="21"/>
      <c r="D76" s="23"/>
      <c r="H76" s="22"/>
    </row>
    <row r="77">
      <c r="A77" s="20"/>
      <c r="B77" s="20"/>
      <c r="C77" s="21"/>
      <c r="D77" s="23"/>
      <c r="H77" s="22"/>
    </row>
    <row r="78">
      <c r="A78" s="20"/>
      <c r="B78" s="20"/>
      <c r="C78" s="21"/>
      <c r="D78" s="23"/>
      <c r="H78" s="22"/>
    </row>
    <row r="79">
      <c r="A79" s="20"/>
      <c r="B79" s="20"/>
      <c r="C79" s="21"/>
      <c r="D79" s="23"/>
      <c r="H79" s="22"/>
    </row>
    <row r="80">
      <c r="A80" s="20"/>
      <c r="B80" s="20"/>
      <c r="C80" s="21"/>
      <c r="D80" s="23"/>
      <c r="H80" s="22"/>
    </row>
    <row r="81">
      <c r="A81" s="20"/>
      <c r="B81" s="20"/>
      <c r="C81" s="21"/>
      <c r="D81" s="23"/>
      <c r="H81" s="22"/>
    </row>
    <row r="82">
      <c r="A82" s="20"/>
      <c r="B82" s="20"/>
      <c r="C82" s="21"/>
      <c r="D82" s="23"/>
      <c r="H82" s="22"/>
    </row>
    <row r="83">
      <c r="A83" s="20"/>
      <c r="B83" s="20"/>
      <c r="C83" s="21"/>
      <c r="D83" s="23"/>
      <c r="H83" s="22"/>
    </row>
    <row r="84">
      <c r="A84" s="20"/>
      <c r="B84" s="20"/>
      <c r="C84" s="21"/>
      <c r="D84" s="23"/>
      <c r="H84" s="22"/>
    </row>
    <row r="85">
      <c r="A85" s="20"/>
      <c r="B85" s="20"/>
      <c r="C85" s="21"/>
      <c r="D85" s="23"/>
      <c r="H85" s="22"/>
    </row>
    <row r="86">
      <c r="A86" s="20"/>
      <c r="B86" s="20"/>
      <c r="C86" s="21"/>
      <c r="D86" s="23"/>
      <c r="H86" s="22"/>
    </row>
    <row r="87">
      <c r="A87" s="20"/>
      <c r="B87" s="20"/>
      <c r="C87" s="21"/>
      <c r="D87" s="23"/>
      <c r="H87" s="22"/>
    </row>
    <row r="88">
      <c r="A88" s="20"/>
      <c r="B88" s="20"/>
      <c r="C88" s="21"/>
      <c r="D88" s="23"/>
      <c r="H88" s="22"/>
    </row>
    <row r="89">
      <c r="A89" s="20"/>
      <c r="B89" s="20"/>
      <c r="C89" s="21"/>
      <c r="D89" s="23"/>
      <c r="H89" s="22"/>
    </row>
    <row r="90">
      <c r="A90" s="20"/>
      <c r="B90" s="20"/>
      <c r="C90" s="21"/>
      <c r="D90" s="23"/>
      <c r="H90" s="22"/>
    </row>
    <row r="91">
      <c r="A91" s="20"/>
      <c r="B91" s="20"/>
      <c r="C91" s="21"/>
      <c r="D91" s="23"/>
      <c r="H91" s="22"/>
    </row>
    <row r="92">
      <c r="A92" s="20"/>
      <c r="B92" s="20"/>
      <c r="C92" s="21"/>
      <c r="D92" s="23"/>
      <c r="H92" s="22"/>
    </row>
    <row r="93">
      <c r="A93" s="20"/>
      <c r="B93" s="20"/>
      <c r="C93" s="21"/>
      <c r="D93" s="23"/>
      <c r="H93" s="22"/>
    </row>
    <row r="94">
      <c r="A94" s="20"/>
      <c r="B94" s="20"/>
      <c r="C94" s="21"/>
      <c r="D94" s="23"/>
      <c r="H94" s="22"/>
    </row>
    <row r="95">
      <c r="A95" s="20"/>
      <c r="B95" s="20"/>
      <c r="C95" s="21"/>
      <c r="D95" s="23"/>
      <c r="H95" s="22"/>
    </row>
    <row r="96">
      <c r="A96" s="20"/>
      <c r="B96" s="20"/>
      <c r="C96" s="21"/>
      <c r="D96" s="23"/>
      <c r="H96" s="22"/>
    </row>
    <row r="97">
      <c r="A97" s="20"/>
      <c r="B97" s="20"/>
      <c r="C97" s="21"/>
      <c r="D97" s="23"/>
      <c r="H97" s="22"/>
    </row>
    <row r="98">
      <c r="A98" s="20"/>
      <c r="B98" s="20"/>
      <c r="C98" s="21"/>
      <c r="D98" s="23"/>
      <c r="H98" s="22"/>
    </row>
    <row r="99">
      <c r="A99" s="20"/>
      <c r="B99" s="20"/>
      <c r="C99" s="21"/>
      <c r="D99" s="23"/>
      <c r="H99" s="22"/>
    </row>
    <row r="100">
      <c r="A100" s="20"/>
      <c r="B100" s="20"/>
      <c r="C100" s="21"/>
      <c r="D100" s="23"/>
      <c r="H100" s="22"/>
    </row>
    <row r="101">
      <c r="A101" s="20"/>
      <c r="B101" s="20"/>
      <c r="C101" s="21"/>
      <c r="D101" s="23"/>
      <c r="H101" s="22"/>
    </row>
    <row r="102">
      <c r="A102" s="20"/>
      <c r="B102" s="20"/>
      <c r="C102" s="21"/>
      <c r="D102" s="23"/>
      <c r="H102" s="22"/>
    </row>
    <row r="103">
      <c r="A103" s="20"/>
      <c r="B103" s="20"/>
      <c r="C103" s="21"/>
      <c r="D103" s="23"/>
      <c r="H103" s="22"/>
    </row>
    <row r="104">
      <c r="A104" s="20"/>
      <c r="B104" s="20"/>
      <c r="C104" s="21"/>
      <c r="D104" s="23"/>
      <c r="H104" s="22"/>
    </row>
    <row r="105">
      <c r="A105" s="20"/>
      <c r="B105" s="20"/>
      <c r="C105" s="21"/>
      <c r="D105" s="23"/>
      <c r="H105" s="22"/>
    </row>
    <row r="106">
      <c r="A106" s="20"/>
      <c r="B106" s="20"/>
      <c r="C106" s="21"/>
      <c r="D106" s="23"/>
      <c r="H106" s="22"/>
    </row>
    <row r="107">
      <c r="A107" s="20"/>
      <c r="B107" s="20"/>
      <c r="C107" s="21"/>
      <c r="D107" s="23"/>
      <c r="H107" s="22"/>
    </row>
    <row r="108">
      <c r="A108" s="20"/>
      <c r="B108" s="20"/>
      <c r="C108" s="21"/>
      <c r="D108" s="23"/>
      <c r="H108" s="22"/>
    </row>
    <row r="109">
      <c r="A109" s="20"/>
      <c r="B109" s="20"/>
      <c r="C109" s="21"/>
      <c r="D109" s="23"/>
      <c r="H109" s="22"/>
    </row>
    <row r="110">
      <c r="A110" s="20"/>
      <c r="B110" s="20"/>
      <c r="C110" s="21"/>
      <c r="D110" s="23"/>
      <c r="H110" s="22"/>
    </row>
    <row r="111">
      <c r="A111" s="20"/>
      <c r="B111" s="20"/>
      <c r="C111" s="21"/>
      <c r="D111" s="23"/>
      <c r="H111" s="22"/>
    </row>
    <row r="112">
      <c r="A112" s="20"/>
      <c r="B112" s="20"/>
      <c r="C112" s="21"/>
      <c r="D112" s="23"/>
      <c r="H112" s="22"/>
    </row>
    <row r="113">
      <c r="A113" s="20"/>
      <c r="B113" s="20"/>
      <c r="C113" s="21"/>
      <c r="D113" s="23"/>
      <c r="H113" s="22"/>
    </row>
    <row r="114">
      <c r="A114" s="20"/>
      <c r="B114" s="20"/>
      <c r="C114" s="21"/>
      <c r="D114" s="23"/>
      <c r="H114" s="22"/>
    </row>
    <row r="115">
      <c r="A115" s="20"/>
      <c r="B115" s="20"/>
      <c r="C115" s="21"/>
      <c r="D115" s="23"/>
      <c r="H115" s="22"/>
    </row>
    <row r="116">
      <c r="A116" s="20"/>
      <c r="B116" s="20"/>
      <c r="C116" s="21"/>
      <c r="D116" s="23"/>
      <c r="H116" s="22"/>
    </row>
    <row r="117">
      <c r="A117" s="20"/>
      <c r="B117" s="20"/>
      <c r="C117" s="21"/>
      <c r="D117" s="23"/>
      <c r="H117" s="22"/>
    </row>
    <row r="118">
      <c r="A118" s="20"/>
      <c r="B118" s="20"/>
      <c r="C118" s="21"/>
      <c r="D118" s="23"/>
      <c r="H118" s="22"/>
    </row>
    <row r="119">
      <c r="A119" s="20"/>
      <c r="B119" s="20"/>
      <c r="C119" s="21"/>
      <c r="D119" s="23"/>
      <c r="H119" s="22"/>
    </row>
    <row r="120">
      <c r="A120" s="20"/>
      <c r="B120" s="20"/>
      <c r="C120" s="21"/>
      <c r="D120" s="23"/>
      <c r="H120" s="22"/>
    </row>
    <row r="121">
      <c r="A121" s="20"/>
      <c r="B121" s="20"/>
      <c r="C121" s="21"/>
      <c r="D121" s="23"/>
      <c r="H121" s="22"/>
    </row>
    <row r="122">
      <c r="A122" s="20"/>
      <c r="B122" s="20"/>
      <c r="C122" s="21"/>
      <c r="D122" s="23"/>
      <c r="H122" s="22"/>
    </row>
    <row r="123">
      <c r="A123" s="20"/>
      <c r="B123" s="20"/>
      <c r="C123" s="21"/>
      <c r="D123" s="23"/>
      <c r="H123" s="22"/>
    </row>
    <row r="124">
      <c r="A124" s="20"/>
      <c r="B124" s="20"/>
      <c r="C124" s="21"/>
      <c r="D124" s="23"/>
      <c r="H124" s="22"/>
    </row>
    <row r="125">
      <c r="A125" s="20"/>
      <c r="B125" s="20"/>
      <c r="C125" s="21"/>
      <c r="D125" s="23"/>
      <c r="H125" s="22"/>
    </row>
    <row r="126">
      <c r="A126" s="20"/>
      <c r="B126" s="20"/>
      <c r="C126" s="21"/>
      <c r="D126" s="23"/>
      <c r="H126" s="22"/>
    </row>
    <row r="127">
      <c r="A127" s="20"/>
      <c r="B127" s="20"/>
      <c r="C127" s="21"/>
      <c r="D127" s="23"/>
      <c r="H127" s="22"/>
    </row>
    <row r="128">
      <c r="A128" s="20"/>
      <c r="B128" s="20"/>
      <c r="C128" s="21"/>
      <c r="D128" s="23"/>
      <c r="H128" s="22"/>
    </row>
    <row r="129">
      <c r="A129" s="20"/>
      <c r="B129" s="20"/>
      <c r="C129" s="21"/>
      <c r="D129" s="23"/>
      <c r="H129" s="22"/>
    </row>
    <row r="130">
      <c r="A130" s="20"/>
      <c r="B130" s="20"/>
      <c r="C130" s="21"/>
      <c r="D130" s="23"/>
      <c r="H130" s="22"/>
    </row>
    <row r="131">
      <c r="A131" s="20"/>
      <c r="B131" s="20"/>
      <c r="C131" s="21"/>
      <c r="D131" s="23"/>
      <c r="H131" s="22"/>
    </row>
    <row r="132">
      <c r="A132" s="20"/>
      <c r="B132" s="20"/>
      <c r="C132" s="21"/>
      <c r="D132" s="23"/>
      <c r="H132" s="22"/>
    </row>
    <row r="133">
      <c r="A133" s="20"/>
      <c r="B133" s="20"/>
      <c r="C133" s="21"/>
      <c r="D133" s="23"/>
      <c r="H133" s="22"/>
    </row>
    <row r="134">
      <c r="A134" s="20"/>
      <c r="B134" s="20"/>
      <c r="C134" s="21"/>
      <c r="D134" s="23"/>
      <c r="H134" s="22"/>
    </row>
    <row r="135">
      <c r="A135" s="20"/>
      <c r="B135" s="20"/>
      <c r="C135" s="21"/>
      <c r="D135" s="23"/>
      <c r="H135" s="22"/>
    </row>
    <row r="136">
      <c r="A136" s="20"/>
      <c r="B136" s="20"/>
      <c r="C136" s="21"/>
      <c r="D136" s="23"/>
      <c r="H136" s="22"/>
    </row>
    <row r="137">
      <c r="A137" s="20"/>
      <c r="B137" s="20"/>
      <c r="C137" s="21"/>
      <c r="D137" s="23"/>
      <c r="H137" s="22"/>
    </row>
    <row r="138">
      <c r="A138" s="20"/>
      <c r="B138" s="20"/>
      <c r="C138" s="21"/>
      <c r="D138" s="23"/>
      <c r="H138" s="22"/>
    </row>
    <row r="139">
      <c r="A139" s="20"/>
      <c r="B139" s="20"/>
      <c r="C139" s="21"/>
      <c r="D139" s="23"/>
      <c r="H139" s="22"/>
    </row>
    <row r="140">
      <c r="A140" s="20"/>
      <c r="B140" s="20"/>
      <c r="C140" s="21"/>
      <c r="D140" s="23"/>
      <c r="H140" s="22"/>
    </row>
    <row r="141">
      <c r="A141" s="20"/>
      <c r="B141" s="20"/>
      <c r="C141" s="21"/>
      <c r="D141" s="23"/>
      <c r="H141" s="22"/>
    </row>
    <row r="142">
      <c r="A142" s="20"/>
      <c r="B142" s="20"/>
      <c r="C142" s="21"/>
      <c r="D142" s="23"/>
      <c r="H142" s="22"/>
    </row>
    <row r="143">
      <c r="A143" s="20"/>
      <c r="B143" s="20"/>
      <c r="C143" s="21"/>
      <c r="D143" s="23"/>
      <c r="H143" s="22"/>
    </row>
    <row r="144">
      <c r="A144" s="20"/>
      <c r="B144" s="20"/>
      <c r="C144" s="21"/>
      <c r="D144" s="23"/>
      <c r="H144" s="22"/>
    </row>
    <row r="145">
      <c r="A145" s="20"/>
      <c r="B145" s="20"/>
      <c r="C145" s="21"/>
      <c r="D145" s="23"/>
      <c r="H145" s="22"/>
    </row>
    <row r="146">
      <c r="A146" s="20"/>
      <c r="B146" s="20"/>
      <c r="C146" s="21"/>
      <c r="D146" s="23"/>
      <c r="H146" s="22"/>
    </row>
    <row r="147">
      <c r="A147" s="20"/>
      <c r="B147" s="20"/>
      <c r="C147" s="21"/>
      <c r="D147" s="23"/>
      <c r="H147" s="22"/>
    </row>
    <row r="148">
      <c r="A148" s="20"/>
      <c r="B148" s="20"/>
      <c r="C148" s="21"/>
      <c r="D148" s="23"/>
      <c r="H148" s="22"/>
    </row>
    <row r="149">
      <c r="A149" s="20"/>
      <c r="B149" s="20"/>
      <c r="C149" s="21"/>
      <c r="D149" s="23"/>
      <c r="H149" s="22"/>
    </row>
    <row r="150">
      <c r="A150" s="20"/>
      <c r="B150" s="20"/>
      <c r="C150" s="21"/>
      <c r="D150" s="23"/>
      <c r="H150" s="22"/>
    </row>
    <row r="151">
      <c r="A151" s="20"/>
      <c r="B151" s="20"/>
      <c r="C151" s="21"/>
      <c r="D151" s="23"/>
      <c r="H151" s="22"/>
    </row>
    <row r="152">
      <c r="A152" s="20"/>
      <c r="B152" s="20"/>
      <c r="C152" s="21"/>
      <c r="D152" s="23"/>
      <c r="H152" s="22"/>
    </row>
    <row r="153">
      <c r="A153" s="20"/>
      <c r="B153" s="20"/>
      <c r="C153" s="21"/>
      <c r="D153" s="23"/>
      <c r="H153" s="22"/>
    </row>
    <row r="154">
      <c r="A154" s="20"/>
      <c r="B154" s="20"/>
      <c r="C154" s="21"/>
      <c r="D154" s="23"/>
      <c r="H154" s="22"/>
    </row>
    <row r="155">
      <c r="A155" s="20"/>
      <c r="B155" s="20"/>
      <c r="C155" s="21"/>
      <c r="D155" s="23"/>
      <c r="H155" s="22"/>
    </row>
    <row r="156">
      <c r="A156" s="20"/>
      <c r="B156" s="20"/>
      <c r="C156" s="21"/>
      <c r="D156" s="23"/>
      <c r="H156" s="22"/>
    </row>
    <row r="157">
      <c r="A157" s="20"/>
      <c r="B157" s="20"/>
      <c r="C157" s="21"/>
      <c r="D157" s="23"/>
      <c r="H157" s="22"/>
    </row>
    <row r="158">
      <c r="A158" s="20"/>
      <c r="B158" s="20"/>
      <c r="C158" s="21"/>
      <c r="D158" s="23"/>
      <c r="H158" s="22"/>
    </row>
    <row r="159">
      <c r="A159" s="20"/>
      <c r="B159" s="20"/>
      <c r="C159" s="21"/>
      <c r="D159" s="23"/>
      <c r="H159" s="22"/>
    </row>
    <row r="160">
      <c r="A160" s="20"/>
      <c r="B160" s="20"/>
      <c r="C160" s="21"/>
      <c r="D160" s="23"/>
      <c r="H160" s="22"/>
    </row>
    <row r="161">
      <c r="A161" s="20"/>
      <c r="B161" s="20"/>
      <c r="C161" s="21"/>
      <c r="D161" s="23"/>
      <c r="H161" s="22"/>
    </row>
    <row r="162">
      <c r="A162" s="20"/>
      <c r="B162" s="20"/>
      <c r="C162" s="21"/>
      <c r="D162" s="23"/>
      <c r="H162" s="22"/>
    </row>
    <row r="163">
      <c r="A163" s="20"/>
      <c r="B163" s="20"/>
      <c r="C163" s="21"/>
      <c r="D163" s="23"/>
      <c r="H163" s="22"/>
    </row>
    <row r="164">
      <c r="A164" s="20"/>
      <c r="B164" s="20"/>
      <c r="C164" s="21"/>
      <c r="D164" s="23"/>
      <c r="H164" s="22"/>
    </row>
    <row r="165">
      <c r="A165" s="20"/>
      <c r="B165" s="20"/>
      <c r="C165" s="21"/>
      <c r="D165" s="23"/>
      <c r="H165" s="22"/>
    </row>
    <row r="166">
      <c r="A166" s="20"/>
      <c r="B166" s="20"/>
      <c r="C166" s="21"/>
      <c r="D166" s="23"/>
      <c r="H166" s="22"/>
    </row>
    <row r="167">
      <c r="A167" s="20"/>
      <c r="B167" s="20"/>
      <c r="C167" s="21"/>
      <c r="D167" s="23"/>
      <c r="H167" s="22"/>
    </row>
    <row r="168">
      <c r="A168" s="20"/>
      <c r="B168" s="20"/>
      <c r="C168" s="21"/>
      <c r="D168" s="23"/>
      <c r="H168" s="22"/>
    </row>
    <row r="169">
      <c r="A169" s="20"/>
      <c r="B169" s="20"/>
      <c r="C169" s="21"/>
      <c r="D169" s="23"/>
      <c r="H169" s="22"/>
    </row>
    <row r="170">
      <c r="A170" s="20"/>
      <c r="B170" s="20"/>
      <c r="C170" s="21"/>
      <c r="D170" s="23"/>
      <c r="H170" s="22"/>
    </row>
    <row r="171">
      <c r="A171" s="20"/>
      <c r="B171" s="20"/>
      <c r="C171" s="21"/>
      <c r="D171" s="23"/>
      <c r="H171" s="22"/>
    </row>
    <row r="172">
      <c r="A172" s="20"/>
      <c r="B172" s="20"/>
      <c r="C172" s="21"/>
      <c r="D172" s="23"/>
      <c r="H172" s="22"/>
    </row>
    <row r="173">
      <c r="A173" s="20"/>
      <c r="B173" s="20"/>
      <c r="C173" s="21"/>
      <c r="D173" s="23"/>
      <c r="H173" s="22"/>
    </row>
    <row r="174">
      <c r="A174" s="20"/>
      <c r="B174" s="20"/>
      <c r="C174" s="21"/>
      <c r="D174" s="23"/>
      <c r="H174" s="22"/>
    </row>
    <row r="175">
      <c r="A175" s="20"/>
      <c r="B175" s="20"/>
      <c r="C175" s="21"/>
      <c r="D175" s="23"/>
      <c r="H175" s="22"/>
    </row>
    <row r="176">
      <c r="A176" s="20"/>
      <c r="B176" s="20"/>
      <c r="C176" s="21"/>
      <c r="D176" s="23"/>
      <c r="H176" s="22"/>
    </row>
    <row r="177">
      <c r="A177" s="20"/>
      <c r="B177" s="20"/>
      <c r="C177" s="21"/>
      <c r="D177" s="23"/>
      <c r="H177" s="22"/>
    </row>
    <row r="178">
      <c r="A178" s="20"/>
      <c r="B178" s="20"/>
      <c r="C178" s="21"/>
      <c r="D178" s="23"/>
      <c r="H178" s="22"/>
    </row>
    <row r="179">
      <c r="A179" s="20"/>
      <c r="B179" s="20"/>
      <c r="C179" s="21"/>
      <c r="D179" s="23"/>
      <c r="H179" s="22"/>
    </row>
    <row r="180">
      <c r="A180" s="20"/>
      <c r="B180" s="20"/>
      <c r="C180" s="21"/>
      <c r="D180" s="23"/>
      <c r="H180" s="22"/>
    </row>
    <row r="181">
      <c r="A181" s="20"/>
      <c r="B181" s="20"/>
      <c r="C181" s="21"/>
      <c r="D181" s="23"/>
      <c r="H181" s="22"/>
    </row>
    <row r="182">
      <c r="A182" s="20"/>
      <c r="B182" s="20"/>
      <c r="C182" s="21"/>
      <c r="D182" s="23"/>
      <c r="H182" s="22"/>
    </row>
    <row r="183">
      <c r="A183" s="20"/>
      <c r="B183" s="20"/>
      <c r="C183" s="21"/>
      <c r="D183" s="23"/>
      <c r="H183" s="22"/>
    </row>
    <row r="184">
      <c r="A184" s="20"/>
      <c r="B184" s="20"/>
      <c r="C184" s="21"/>
      <c r="D184" s="23"/>
      <c r="H184" s="22"/>
    </row>
    <row r="185">
      <c r="A185" s="20"/>
      <c r="B185" s="20"/>
      <c r="C185" s="21"/>
      <c r="D185" s="23"/>
      <c r="H185" s="22"/>
    </row>
    <row r="186">
      <c r="A186" s="20"/>
      <c r="B186" s="20"/>
      <c r="C186" s="21"/>
      <c r="D186" s="23"/>
      <c r="H186" s="22"/>
    </row>
    <row r="187">
      <c r="A187" s="20"/>
      <c r="B187" s="20"/>
      <c r="C187" s="21"/>
      <c r="D187" s="23"/>
      <c r="H187" s="22"/>
    </row>
    <row r="188">
      <c r="A188" s="20"/>
      <c r="B188" s="20"/>
      <c r="C188" s="21"/>
      <c r="D188" s="23"/>
      <c r="H188" s="22"/>
    </row>
    <row r="189">
      <c r="A189" s="20"/>
      <c r="B189" s="20"/>
      <c r="C189" s="21"/>
      <c r="D189" s="23"/>
      <c r="H189" s="22"/>
    </row>
    <row r="190">
      <c r="A190" s="20"/>
      <c r="B190" s="20"/>
      <c r="C190" s="21"/>
      <c r="D190" s="23"/>
      <c r="H190" s="22"/>
    </row>
    <row r="191">
      <c r="A191" s="20"/>
      <c r="B191" s="20"/>
      <c r="C191" s="21"/>
      <c r="D191" s="23"/>
      <c r="H191" s="22"/>
    </row>
    <row r="192">
      <c r="A192" s="20"/>
      <c r="B192" s="20"/>
      <c r="C192" s="21"/>
      <c r="D192" s="23"/>
      <c r="H192" s="22"/>
    </row>
    <row r="193">
      <c r="A193" s="20"/>
      <c r="B193" s="20"/>
      <c r="C193" s="21"/>
      <c r="D193" s="23"/>
      <c r="H193" s="22"/>
    </row>
    <row r="194">
      <c r="A194" s="20"/>
      <c r="B194" s="20"/>
      <c r="C194" s="21"/>
      <c r="D194" s="23"/>
      <c r="H194" s="22"/>
    </row>
    <row r="195">
      <c r="A195" s="20"/>
      <c r="B195" s="20"/>
      <c r="C195" s="21"/>
      <c r="D195" s="23"/>
      <c r="H195" s="22"/>
    </row>
    <row r="196">
      <c r="A196" s="20"/>
      <c r="B196" s="20"/>
      <c r="C196" s="21"/>
      <c r="D196" s="23"/>
      <c r="H196" s="22"/>
    </row>
    <row r="197">
      <c r="A197" s="20"/>
      <c r="B197" s="20"/>
      <c r="C197" s="21"/>
      <c r="D197" s="23"/>
      <c r="H197" s="22"/>
    </row>
    <row r="198">
      <c r="A198" s="20"/>
      <c r="B198" s="20"/>
      <c r="C198" s="21"/>
      <c r="D198" s="23"/>
      <c r="H198" s="22"/>
    </row>
    <row r="199">
      <c r="A199" s="20"/>
      <c r="B199" s="20"/>
      <c r="C199" s="21"/>
      <c r="D199" s="23"/>
      <c r="H199" s="22"/>
    </row>
    <row r="200">
      <c r="A200" s="20"/>
      <c r="B200" s="20"/>
      <c r="C200" s="21"/>
      <c r="D200" s="23"/>
      <c r="H200" s="22"/>
    </row>
    <row r="201">
      <c r="A201" s="20"/>
      <c r="B201" s="20"/>
      <c r="C201" s="21"/>
      <c r="D201" s="23"/>
      <c r="H201" s="22"/>
    </row>
    <row r="202">
      <c r="A202" s="20"/>
      <c r="B202" s="20"/>
      <c r="C202" s="21"/>
      <c r="D202" s="23"/>
      <c r="H202" s="22"/>
    </row>
    <row r="203">
      <c r="A203" s="20"/>
      <c r="B203" s="20"/>
      <c r="C203" s="21"/>
      <c r="D203" s="23"/>
      <c r="H203" s="22"/>
    </row>
    <row r="204">
      <c r="A204" s="20"/>
      <c r="B204" s="20"/>
      <c r="C204" s="21"/>
      <c r="D204" s="23"/>
      <c r="H204" s="22"/>
    </row>
    <row r="205">
      <c r="A205" s="20"/>
      <c r="B205" s="20"/>
      <c r="C205" s="21"/>
      <c r="D205" s="23"/>
      <c r="H205" s="22"/>
    </row>
    <row r="206">
      <c r="A206" s="20"/>
      <c r="B206" s="20"/>
      <c r="C206" s="21"/>
      <c r="D206" s="23"/>
      <c r="H206" s="22"/>
    </row>
    <row r="207">
      <c r="A207" s="20"/>
      <c r="B207" s="20"/>
      <c r="C207" s="21"/>
      <c r="D207" s="23"/>
      <c r="H207" s="22"/>
    </row>
    <row r="208">
      <c r="A208" s="20"/>
      <c r="B208" s="20"/>
      <c r="C208" s="21"/>
      <c r="D208" s="23"/>
      <c r="H208" s="22"/>
    </row>
    <row r="209">
      <c r="A209" s="20"/>
      <c r="B209" s="20"/>
      <c r="C209" s="21"/>
      <c r="D209" s="23"/>
      <c r="H209" s="22"/>
    </row>
    <row r="210">
      <c r="A210" s="20"/>
      <c r="B210" s="20"/>
      <c r="C210" s="21"/>
      <c r="D210" s="23"/>
      <c r="H210" s="22"/>
    </row>
    <row r="211">
      <c r="A211" s="20"/>
      <c r="B211" s="20"/>
      <c r="C211" s="21"/>
      <c r="D211" s="23"/>
      <c r="H211" s="22"/>
    </row>
    <row r="212">
      <c r="A212" s="20"/>
      <c r="B212" s="20"/>
      <c r="C212" s="21"/>
      <c r="D212" s="23"/>
      <c r="H212" s="22"/>
    </row>
    <row r="213">
      <c r="A213" s="20"/>
      <c r="B213" s="20"/>
      <c r="C213" s="21"/>
      <c r="D213" s="23"/>
      <c r="H213" s="22"/>
    </row>
    <row r="214">
      <c r="A214" s="20"/>
      <c r="B214" s="20"/>
      <c r="C214" s="21"/>
      <c r="D214" s="23"/>
      <c r="H214" s="22"/>
    </row>
    <row r="215">
      <c r="A215" s="20"/>
      <c r="B215" s="20"/>
      <c r="C215" s="21"/>
      <c r="D215" s="23"/>
      <c r="H215" s="22"/>
    </row>
    <row r="216">
      <c r="A216" s="20"/>
      <c r="B216" s="20"/>
      <c r="C216" s="21"/>
      <c r="D216" s="23"/>
      <c r="H216" s="22"/>
    </row>
    <row r="217">
      <c r="A217" s="20"/>
      <c r="B217" s="20"/>
      <c r="C217" s="21"/>
      <c r="D217" s="23"/>
      <c r="H217" s="22"/>
    </row>
    <row r="218">
      <c r="A218" s="20"/>
      <c r="B218" s="20"/>
      <c r="C218" s="21"/>
      <c r="D218" s="23"/>
      <c r="H218" s="22"/>
    </row>
    <row r="219">
      <c r="A219" s="20"/>
      <c r="B219" s="20"/>
      <c r="C219" s="21"/>
      <c r="D219" s="23"/>
      <c r="H219" s="22"/>
    </row>
    <row r="220">
      <c r="A220" s="20"/>
      <c r="B220" s="20"/>
      <c r="C220" s="21"/>
      <c r="D220" s="23"/>
      <c r="H220" s="22"/>
    </row>
    <row r="221">
      <c r="A221" s="20"/>
      <c r="B221" s="20"/>
      <c r="C221" s="21"/>
      <c r="D221" s="23"/>
      <c r="H221" s="22"/>
    </row>
    <row r="222">
      <c r="A222" s="20"/>
      <c r="B222" s="20"/>
      <c r="C222" s="21"/>
      <c r="D222" s="23"/>
      <c r="H222" s="22"/>
    </row>
    <row r="223">
      <c r="A223" s="20"/>
      <c r="B223" s="20"/>
      <c r="C223" s="21"/>
      <c r="D223" s="23"/>
      <c r="H223" s="22"/>
    </row>
    <row r="224">
      <c r="A224" s="20"/>
      <c r="B224" s="20"/>
      <c r="C224" s="21"/>
      <c r="D224" s="23"/>
      <c r="H224" s="22"/>
    </row>
    <row r="225">
      <c r="A225" s="20"/>
      <c r="B225" s="20"/>
      <c r="C225" s="21"/>
      <c r="D225" s="23"/>
      <c r="H225" s="22"/>
    </row>
    <row r="226">
      <c r="A226" s="20"/>
      <c r="B226" s="20"/>
      <c r="C226" s="21"/>
      <c r="D226" s="23"/>
      <c r="H226" s="22"/>
    </row>
    <row r="227">
      <c r="A227" s="20"/>
      <c r="B227" s="20"/>
      <c r="C227" s="21"/>
      <c r="D227" s="23"/>
      <c r="H227" s="22"/>
    </row>
    <row r="228">
      <c r="A228" s="20"/>
      <c r="B228" s="20"/>
      <c r="C228" s="21"/>
      <c r="D228" s="23"/>
      <c r="H228" s="22"/>
    </row>
    <row r="229">
      <c r="A229" s="20"/>
      <c r="B229" s="20"/>
      <c r="C229" s="21"/>
      <c r="D229" s="23"/>
      <c r="H229" s="22"/>
    </row>
    <row r="230">
      <c r="A230" s="20"/>
      <c r="B230" s="20"/>
      <c r="C230" s="21"/>
      <c r="D230" s="23"/>
      <c r="H230" s="22"/>
    </row>
    <row r="231">
      <c r="A231" s="20"/>
      <c r="B231" s="20"/>
      <c r="C231" s="21"/>
      <c r="D231" s="23"/>
      <c r="H231" s="22"/>
    </row>
    <row r="232">
      <c r="A232" s="20"/>
      <c r="B232" s="20"/>
      <c r="C232" s="21"/>
      <c r="D232" s="23"/>
      <c r="H232" s="22"/>
    </row>
    <row r="233">
      <c r="A233" s="20"/>
      <c r="B233" s="20"/>
      <c r="C233" s="21"/>
      <c r="D233" s="23"/>
      <c r="H233" s="22"/>
    </row>
    <row r="234">
      <c r="A234" s="20"/>
      <c r="B234" s="20"/>
      <c r="C234" s="21"/>
      <c r="D234" s="23"/>
      <c r="H234" s="22"/>
    </row>
    <row r="235">
      <c r="A235" s="20"/>
      <c r="B235" s="20"/>
      <c r="C235" s="21"/>
      <c r="D235" s="23"/>
      <c r="H235" s="22"/>
    </row>
    <row r="236">
      <c r="A236" s="20"/>
      <c r="B236" s="20"/>
      <c r="C236" s="21"/>
      <c r="D236" s="23"/>
      <c r="H236" s="22"/>
    </row>
    <row r="237">
      <c r="A237" s="20"/>
      <c r="B237" s="20"/>
      <c r="C237" s="21"/>
      <c r="D237" s="23"/>
      <c r="H237" s="22"/>
    </row>
    <row r="238">
      <c r="A238" s="20"/>
      <c r="B238" s="20"/>
      <c r="C238" s="21"/>
      <c r="D238" s="23"/>
      <c r="H238" s="22"/>
    </row>
    <row r="239">
      <c r="A239" s="20"/>
      <c r="B239" s="20"/>
      <c r="C239" s="21"/>
      <c r="D239" s="23"/>
      <c r="H239" s="22"/>
    </row>
    <row r="240">
      <c r="A240" s="20"/>
      <c r="B240" s="20"/>
      <c r="C240" s="21"/>
      <c r="D240" s="23"/>
      <c r="H240" s="22"/>
    </row>
    <row r="241">
      <c r="A241" s="20"/>
      <c r="B241" s="20"/>
      <c r="C241" s="21"/>
      <c r="D241" s="23"/>
      <c r="H241" s="22"/>
    </row>
    <row r="242">
      <c r="A242" s="20"/>
      <c r="B242" s="20"/>
      <c r="C242" s="21"/>
      <c r="D242" s="23"/>
      <c r="H242" s="22"/>
    </row>
    <row r="243">
      <c r="A243" s="20"/>
      <c r="B243" s="20"/>
      <c r="C243" s="21"/>
      <c r="D243" s="23"/>
      <c r="H243" s="22"/>
    </row>
    <row r="244">
      <c r="A244" s="20"/>
      <c r="B244" s="20"/>
      <c r="C244" s="21"/>
      <c r="D244" s="23"/>
      <c r="H244" s="22"/>
    </row>
    <row r="245">
      <c r="A245" s="20"/>
      <c r="B245" s="20"/>
      <c r="C245" s="21"/>
      <c r="D245" s="23"/>
      <c r="H245" s="22"/>
    </row>
    <row r="246">
      <c r="A246" s="20"/>
      <c r="B246" s="20"/>
      <c r="C246" s="21"/>
      <c r="D246" s="23"/>
      <c r="H246" s="22"/>
    </row>
    <row r="247">
      <c r="A247" s="20"/>
      <c r="B247" s="20"/>
      <c r="C247" s="21"/>
      <c r="D247" s="23"/>
      <c r="H247" s="22"/>
    </row>
    <row r="248">
      <c r="A248" s="20"/>
      <c r="B248" s="20"/>
      <c r="C248" s="21"/>
      <c r="D248" s="23"/>
      <c r="H248" s="22"/>
    </row>
    <row r="249">
      <c r="A249" s="20"/>
      <c r="B249" s="20"/>
      <c r="C249" s="21"/>
      <c r="D249" s="23"/>
      <c r="H249" s="22"/>
    </row>
    <row r="250">
      <c r="A250" s="20"/>
      <c r="B250" s="20"/>
      <c r="C250" s="21"/>
      <c r="D250" s="23"/>
      <c r="H250" s="22"/>
    </row>
    <row r="251">
      <c r="A251" s="20"/>
      <c r="B251" s="20"/>
      <c r="C251" s="21"/>
      <c r="D251" s="23"/>
      <c r="H251" s="22"/>
    </row>
    <row r="252">
      <c r="A252" s="20"/>
      <c r="B252" s="20"/>
      <c r="C252" s="21"/>
      <c r="D252" s="23"/>
      <c r="H252" s="22"/>
    </row>
    <row r="253">
      <c r="A253" s="20"/>
      <c r="B253" s="20"/>
      <c r="C253" s="21"/>
      <c r="D253" s="23"/>
      <c r="H253" s="22"/>
    </row>
    <row r="254">
      <c r="A254" s="20"/>
      <c r="B254" s="20"/>
      <c r="C254" s="21"/>
      <c r="D254" s="23"/>
      <c r="H254" s="22"/>
    </row>
    <row r="255">
      <c r="A255" s="20"/>
      <c r="B255" s="20"/>
      <c r="C255" s="21"/>
      <c r="D255" s="23"/>
      <c r="H255" s="22"/>
    </row>
    <row r="256">
      <c r="A256" s="20"/>
      <c r="B256" s="20"/>
      <c r="C256" s="21"/>
      <c r="D256" s="23"/>
      <c r="H256" s="22"/>
    </row>
    <row r="257">
      <c r="A257" s="20"/>
      <c r="B257" s="20"/>
      <c r="C257" s="21"/>
      <c r="D257" s="23"/>
      <c r="H257" s="22"/>
    </row>
    <row r="258">
      <c r="A258" s="20"/>
      <c r="B258" s="20"/>
      <c r="C258" s="21"/>
      <c r="D258" s="23"/>
      <c r="H258" s="22"/>
    </row>
    <row r="259">
      <c r="A259" s="20"/>
      <c r="B259" s="20"/>
      <c r="C259" s="21"/>
      <c r="D259" s="23"/>
      <c r="H259" s="22"/>
    </row>
    <row r="260">
      <c r="A260" s="20"/>
      <c r="B260" s="20"/>
      <c r="C260" s="21"/>
      <c r="D260" s="23"/>
      <c r="H260" s="22"/>
    </row>
    <row r="261">
      <c r="A261" s="20"/>
      <c r="B261" s="20"/>
      <c r="C261" s="21"/>
      <c r="D261" s="23"/>
      <c r="H261" s="22"/>
    </row>
    <row r="262">
      <c r="A262" s="20"/>
      <c r="B262" s="20"/>
      <c r="C262" s="21"/>
      <c r="D262" s="23"/>
      <c r="H262" s="22"/>
    </row>
    <row r="263">
      <c r="A263" s="20"/>
      <c r="B263" s="20"/>
      <c r="C263" s="21"/>
      <c r="D263" s="23"/>
      <c r="H263" s="22"/>
    </row>
    <row r="264">
      <c r="A264" s="20"/>
      <c r="B264" s="20"/>
      <c r="C264" s="21"/>
      <c r="D264" s="23"/>
      <c r="H264" s="22"/>
    </row>
    <row r="265">
      <c r="A265" s="20"/>
      <c r="B265" s="20"/>
      <c r="C265" s="21"/>
      <c r="D265" s="23"/>
      <c r="H265" s="22"/>
    </row>
    <row r="266">
      <c r="A266" s="20"/>
      <c r="B266" s="20"/>
      <c r="C266" s="21"/>
      <c r="D266" s="23"/>
      <c r="H266" s="22"/>
    </row>
    <row r="267">
      <c r="A267" s="20"/>
      <c r="B267" s="20"/>
      <c r="C267" s="21"/>
      <c r="D267" s="23"/>
      <c r="H267" s="22"/>
    </row>
    <row r="268">
      <c r="A268" s="20"/>
      <c r="B268" s="20"/>
      <c r="C268" s="21"/>
      <c r="D268" s="23"/>
      <c r="H268" s="22"/>
    </row>
    <row r="269">
      <c r="A269" s="20"/>
      <c r="B269" s="20"/>
      <c r="C269" s="21"/>
      <c r="D269" s="23"/>
      <c r="H269" s="22"/>
    </row>
    <row r="270">
      <c r="A270" s="20"/>
      <c r="B270" s="20"/>
      <c r="C270" s="21"/>
      <c r="D270" s="23"/>
      <c r="H270" s="22"/>
    </row>
    <row r="271">
      <c r="A271" s="20"/>
      <c r="B271" s="20"/>
      <c r="C271" s="21"/>
      <c r="D271" s="23"/>
      <c r="H271" s="22"/>
    </row>
    <row r="272">
      <c r="A272" s="20"/>
      <c r="B272" s="20"/>
      <c r="C272" s="21"/>
      <c r="D272" s="23"/>
      <c r="H272" s="22"/>
    </row>
    <row r="273">
      <c r="A273" s="20"/>
      <c r="B273" s="20"/>
      <c r="C273" s="21"/>
      <c r="D273" s="23"/>
      <c r="H273" s="22"/>
    </row>
    <row r="274">
      <c r="A274" s="20"/>
      <c r="B274" s="20"/>
      <c r="C274" s="21"/>
      <c r="D274" s="23"/>
      <c r="H274" s="22"/>
    </row>
    <row r="275">
      <c r="A275" s="20"/>
      <c r="B275" s="20"/>
      <c r="C275" s="21"/>
      <c r="D275" s="23"/>
      <c r="H275" s="22"/>
    </row>
    <row r="276">
      <c r="A276" s="20"/>
      <c r="B276" s="20"/>
      <c r="C276" s="21"/>
      <c r="D276" s="23"/>
      <c r="H276" s="22"/>
    </row>
    <row r="277">
      <c r="A277" s="20"/>
      <c r="B277" s="20"/>
      <c r="C277" s="21"/>
      <c r="D277" s="23"/>
      <c r="H277" s="22"/>
    </row>
    <row r="278">
      <c r="A278" s="20"/>
      <c r="B278" s="20"/>
      <c r="C278" s="21"/>
      <c r="D278" s="23"/>
      <c r="H278" s="22"/>
    </row>
    <row r="279">
      <c r="A279" s="20"/>
      <c r="B279" s="20"/>
      <c r="C279" s="21"/>
      <c r="D279" s="23"/>
      <c r="H279" s="22"/>
    </row>
    <row r="280">
      <c r="A280" s="20"/>
      <c r="B280" s="20"/>
      <c r="C280" s="21"/>
      <c r="D280" s="23"/>
      <c r="H280" s="22"/>
    </row>
    <row r="281">
      <c r="A281" s="20"/>
      <c r="B281" s="20"/>
      <c r="C281" s="21"/>
      <c r="D281" s="23"/>
      <c r="H281" s="22"/>
    </row>
    <row r="282">
      <c r="A282" s="20"/>
      <c r="B282" s="20"/>
      <c r="C282" s="21"/>
      <c r="D282" s="23"/>
      <c r="H282" s="22"/>
    </row>
    <row r="283">
      <c r="A283" s="20"/>
      <c r="B283" s="20"/>
      <c r="C283" s="21"/>
      <c r="D283" s="23"/>
      <c r="H283" s="22"/>
    </row>
    <row r="284">
      <c r="A284" s="20"/>
      <c r="B284" s="20"/>
      <c r="C284" s="21"/>
      <c r="D284" s="23"/>
      <c r="H284" s="22"/>
    </row>
    <row r="285">
      <c r="A285" s="20"/>
      <c r="B285" s="20"/>
      <c r="C285" s="21"/>
      <c r="D285" s="23"/>
      <c r="H285" s="22"/>
    </row>
    <row r="286">
      <c r="A286" s="20"/>
      <c r="B286" s="20"/>
      <c r="C286" s="21"/>
      <c r="D286" s="23"/>
      <c r="H286" s="22"/>
    </row>
    <row r="287">
      <c r="A287" s="20"/>
      <c r="B287" s="20"/>
      <c r="C287" s="21"/>
      <c r="D287" s="23"/>
      <c r="H287" s="22"/>
    </row>
    <row r="288">
      <c r="A288" s="20"/>
      <c r="B288" s="20"/>
      <c r="C288" s="21"/>
      <c r="D288" s="23"/>
      <c r="H288" s="22"/>
    </row>
    <row r="289">
      <c r="A289" s="20"/>
      <c r="B289" s="20"/>
      <c r="C289" s="21"/>
      <c r="D289" s="23"/>
      <c r="H289" s="22"/>
    </row>
    <row r="290">
      <c r="A290" s="20"/>
      <c r="B290" s="20"/>
      <c r="C290" s="21"/>
      <c r="D290" s="23"/>
      <c r="H290" s="22"/>
    </row>
    <row r="291">
      <c r="A291" s="20"/>
      <c r="B291" s="20"/>
      <c r="C291" s="21"/>
      <c r="D291" s="23"/>
      <c r="H291" s="22"/>
    </row>
    <row r="292">
      <c r="A292" s="20"/>
      <c r="B292" s="20"/>
      <c r="C292" s="21"/>
      <c r="D292" s="23"/>
      <c r="H292" s="22"/>
    </row>
    <row r="293">
      <c r="A293" s="20"/>
      <c r="B293" s="20"/>
      <c r="C293" s="21"/>
      <c r="D293" s="23"/>
      <c r="H293" s="22"/>
    </row>
    <row r="294">
      <c r="A294" s="20"/>
      <c r="B294" s="20"/>
      <c r="C294" s="21"/>
      <c r="D294" s="23"/>
      <c r="H294" s="22"/>
    </row>
    <row r="295">
      <c r="A295" s="20"/>
      <c r="B295" s="20"/>
      <c r="C295" s="21"/>
      <c r="D295" s="23"/>
      <c r="H295" s="22"/>
    </row>
    <row r="296">
      <c r="A296" s="20"/>
      <c r="B296" s="20"/>
      <c r="C296" s="21"/>
      <c r="D296" s="23"/>
      <c r="H296" s="22"/>
    </row>
    <row r="297">
      <c r="A297" s="20"/>
      <c r="B297" s="20"/>
      <c r="C297" s="21"/>
      <c r="D297" s="23"/>
      <c r="H297" s="22"/>
    </row>
    <row r="298">
      <c r="A298" s="20"/>
      <c r="B298" s="20"/>
      <c r="C298" s="21"/>
      <c r="D298" s="23"/>
      <c r="H298" s="22"/>
    </row>
    <row r="299">
      <c r="A299" s="20"/>
      <c r="B299" s="20"/>
      <c r="C299" s="21"/>
      <c r="D299" s="23"/>
      <c r="H299" s="22"/>
    </row>
    <row r="300">
      <c r="A300" s="20"/>
      <c r="B300" s="20"/>
      <c r="C300" s="21"/>
      <c r="D300" s="23"/>
      <c r="H300" s="22"/>
    </row>
    <row r="301">
      <c r="A301" s="20"/>
      <c r="B301" s="20"/>
      <c r="C301" s="21"/>
      <c r="D301" s="23"/>
      <c r="H301" s="22"/>
    </row>
    <row r="302">
      <c r="A302" s="20"/>
      <c r="B302" s="20"/>
      <c r="C302" s="21"/>
      <c r="D302" s="23"/>
      <c r="H302" s="22"/>
    </row>
    <row r="303">
      <c r="A303" s="20"/>
      <c r="B303" s="20"/>
      <c r="C303" s="21"/>
      <c r="D303" s="23"/>
      <c r="H303" s="22"/>
    </row>
    <row r="304">
      <c r="A304" s="20"/>
      <c r="B304" s="20"/>
      <c r="C304" s="21"/>
      <c r="D304" s="23"/>
      <c r="H304" s="22"/>
    </row>
    <row r="305">
      <c r="A305" s="20"/>
      <c r="B305" s="20"/>
      <c r="C305" s="21"/>
      <c r="D305" s="23"/>
      <c r="H305" s="22"/>
    </row>
    <row r="306">
      <c r="A306" s="20"/>
      <c r="B306" s="20"/>
      <c r="C306" s="21"/>
      <c r="D306" s="23"/>
      <c r="H306" s="22"/>
    </row>
    <row r="307">
      <c r="A307" s="20"/>
      <c r="B307" s="20"/>
      <c r="C307" s="21"/>
      <c r="D307" s="23"/>
      <c r="H307" s="22"/>
    </row>
    <row r="308">
      <c r="A308" s="20"/>
      <c r="B308" s="20"/>
      <c r="C308" s="21"/>
      <c r="D308" s="23"/>
      <c r="H308" s="22"/>
    </row>
    <row r="309">
      <c r="A309" s="20"/>
      <c r="B309" s="20"/>
      <c r="C309" s="21"/>
      <c r="D309" s="23"/>
      <c r="H309" s="22"/>
    </row>
    <row r="310">
      <c r="A310" s="20"/>
      <c r="B310" s="20"/>
      <c r="C310" s="21"/>
      <c r="D310" s="23"/>
      <c r="H310" s="22"/>
    </row>
    <row r="311">
      <c r="A311" s="20"/>
      <c r="B311" s="20"/>
      <c r="C311" s="21"/>
      <c r="D311" s="23"/>
      <c r="H311" s="22"/>
    </row>
    <row r="312">
      <c r="A312" s="20"/>
      <c r="B312" s="20"/>
      <c r="C312" s="21"/>
      <c r="D312" s="23"/>
      <c r="H312" s="22"/>
    </row>
    <row r="313">
      <c r="A313" s="20"/>
      <c r="B313" s="20"/>
      <c r="C313" s="21"/>
      <c r="D313" s="23"/>
      <c r="H313" s="22"/>
    </row>
    <row r="314">
      <c r="A314" s="20"/>
      <c r="B314" s="20"/>
      <c r="C314" s="21"/>
      <c r="D314" s="23"/>
      <c r="H314" s="22"/>
    </row>
    <row r="315">
      <c r="A315" s="20"/>
      <c r="B315" s="20"/>
      <c r="C315" s="21"/>
      <c r="D315" s="23"/>
      <c r="H315" s="22"/>
    </row>
    <row r="316">
      <c r="A316" s="20"/>
      <c r="B316" s="20"/>
      <c r="C316" s="21"/>
      <c r="D316" s="23"/>
      <c r="H316" s="22"/>
    </row>
    <row r="317">
      <c r="A317" s="20"/>
      <c r="B317" s="20"/>
      <c r="C317" s="21"/>
      <c r="D317" s="23"/>
      <c r="H317" s="22"/>
    </row>
    <row r="318">
      <c r="A318" s="20"/>
      <c r="B318" s="20"/>
      <c r="C318" s="21"/>
      <c r="D318" s="23"/>
      <c r="H318" s="22"/>
    </row>
    <row r="319">
      <c r="A319" s="20"/>
      <c r="B319" s="20"/>
      <c r="C319" s="21"/>
      <c r="D319" s="23"/>
      <c r="H319" s="22"/>
    </row>
    <row r="320">
      <c r="A320" s="20"/>
      <c r="B320" s="20"/>
      <c r="C320" s="21"/>
      <c r="D320" s="23"/>
      <c r="H320" s="22"/>
    </row>
    <row r="321">
      <c r="A321" s="20"/>
      <c r="B321" s="20"/>
      <c r="C321" s="21"/>
      <c r="D321" s="23"/>
      <c r="H321" s="22"/>
    </row>
    <row r="322">
      <c r="A322" s="20"/>
      <c r="B322" s="20"/>
      <c r="C322" s="21"/>
      <c r="D322" s="23"/>
      <c r="H322" s="22"/>
    </row>
    <row r="323">
      <c r="A323" s="20"/>
      <c r="B323" s="20"/>
      <c r="C323" s="21"/>
      <c r="D323" s="23"/>
      <c r="H323" s="22"/>
    </row>
    <row r="324">
      <c r="A324" s="20"/>
      <c r="B324" s="20"/>
      <c r="C324" s="21"/>
      <c r="D324" s="23"/>
      <c r="H324" s="22"/>
    </row>
    <row r="325">
      <c r="A325" s="20"/>
      <c r="B325" s="20"/>
      <c r="C325" s="21"/>
      <c r="D325" s="23"/>
      <c r="H325" s="22"/>
    </row>
    <row r="326">
      <c r="A326" s="20"/>
      <c r="B326" s="20"/>
      <c r="C326" s="21"/>
      <c r="D326" s="23"/>
      <c r="H326" s="22"/>
    </row>
    <row r="327">
      <c r="A327" s="20"/>
      <c r="B327" s="20"/>
      <c r="C327" s="21"/>
      <c r="D327" s="23"/>
      <c r="H327" s="22"/>
    </row>
    <row r="328">
      <c r="A328" s="20"/>
      <c r="B328" s="20"/>
      <c r="C328" s="21"/>
      <c r="D328" s="23"/>
      <c r="H328" s="22"/>
    </row>
    <row r="329">
      <c r="A329" s="20"/>
      <c r="B329" s="20"/>
      <c r="C329" s="21"/>
      <c r="D329" s="23"/>
      <c r="H329" s="22"/>
    </row>
    <row r="330">
      <c r="A330" s="20"/>
      <c r="B330" s="20"/>
      <c r="C330" s="21"/>
      <c r="D330" s="23"/>
      <c r="H330" s="22"/>
    </row>
    <row r="331">
      <c r="A331" s="20"/>
      <c r="B331" s="20"/>
      <c r="C331" s="21"/>
      <c r="D331" s="23"/>
      <c r="H331" s="22"/>
    </row>
    <row r="332">
      <c r="A332" s="20"/>
      <c r="B332" s="20"/>
      <c r="C332" s="21"/>
      <c r="D332" s="23"/>
      <c r="H332" s="22"/>
    </row>
    <row r="333">
      <c r="A333" s="20"/>
      <c r="B333" s="20"/>
      <c r="C333" s="21"/>
      <c r="D333" s="23"/>
      <c r="H333" s="22"/>
    </row>
    <row r="334">
      <c r="A334" s="20"/>
      <c r="B334" s="20"/>
      <c r="C334" s="21"/>
      <c r="D334" s="23"/>
      <c r="H334" s="22"/>
    </row>
    <row r="335">
      <c r="A335" s="20"/>
      <c r="B335" s="20"/>
      <c r="C335" s="21"/>
      <c r="D335" s="23"/>
      <c r="H335" s="22"/>
    </row>
    <row r="336">
      <c r="A336" s="20"/>
      <c r="B336" s="20"/>
      <c r="C336" s="21"/>
      <c r="D336" s="23"/>
      <c r="H336" s="22"/>
    </row>
    <row r="337">
      <c r="A337" s="20"/>
      <c r="B337" s="20"/>
      <c r="C337" s="21"/>
      <c r="D337" s="23"/>
      <c r="H337" s="22"/>
    </row>
    <row r="338">
      <c r="A338" s="20"/>
      <c r="B338" s="20"/>
      <c r="C338" s="21"/>
      <c r="D338" s="23"/>
      <c r="H338" s="22"/>
    </row>
    <row r="339">
      <c r="A339" s="20"/>
      <c r="B339" s="20"/>
      <c r="C339" s="21"/>
      <c r="D339" s="23"/>
      <c r="H339" s="22"/>
    </row>
    <row r="340">
      <c r="A340" s="20"/>
      <c r="B340" s="20"/>
      <c r="C340" s="21"/>
      <c r="D340" s="23"/>
      <c r="H340" s="22"/>
    </row>
    <row r="341">
      <c r="A341" s="20"/>
      <c r="B341" s="20"/>
      <c r="C341" s="21"/>
      <c r="D341" s="23"/>
      <c r="H341" s="22"/>
    </row>
    <row r="342">
      <c r="A342" s="20"/>
      <c r="B342" s="20"/>
      <c r="C342" s="21"/>
      <c r="D342" s="23"/>
      <c r="H342" s="22"/>
    </row>
    <row r="343">
      <c r="A343" s="20"/>
      <c r="B343" s="20"/>
      <c r="C343" s="21"/>
      <c r="D343" s="23"/>
      <c r="H343" s="22"/>
    </row>
    <row r="344">
      <c r="A344" s="20"/>
      <c r="B344" s="20"/>
      <c r="C344" s="21"/>
      <c r="D344" s="23"/>
      <c r="H344" s="22"/>
    </row>
    <row r="345">
      <c r="A345" s="20"/>
      <c r="B345" s="20"/>
      <c r="C345" s="21"/>
      <c r="D345" s="23"/>
      <c r="H345" s="22"/>
    </row>
    <row r="346">
      <c r="A346" s="20"/>
      <c r="B346" s="20"/>
      <c r="C346" s="21"/>
      <c r="D346" s="23"/>
      <c r="H346" s="22"/>
    </row>
    <row r="347">
      <c r="A347" s="20"/>
      <c r="B347" s="20"/>
      <c r="C347" s="21"/>
      <c r="D347" s="23"/>
      <c r="H347" s="22"/>
    </row>
    <row r="348">
      <c r="A348" s="20"/>
      <c r="B348" s="20"/>
      <c r="C348" s="21"/>
      <c r="D348" s="23"/>
      <c r="H348" s="22"/>
    </row>
    <row r="349">
      <c r="A349" s="20"/>
      <c r="B349" s="20"/>
      <c r="C349" s="21"/>
      <c r="D349" s="23"/>
      <c r="H349" s="22"/>
    </row>
    <row r="350">
      <c r="A350" s="20"/>
      <c r="B350" s="20"/>
      <c r="C350" s="21"/>
      <c r="D350" s="23"/>
      <c r="H350" s="22"/>
    </row>
    <row r="351">
      <c r="A351" s="20"/>
      <c r="B351" s="20"/>
      <c r="C351" s="21"/>
      <c r="D351" s="23"/>
      <c r="H351" s="22"/>
    </row>
    <row r="352">
      <c r="A352" s="20"/>
      <c r="B352" s="20"/>
      <c r="C352" s="21"/>
      <c r="D352" s="23"/>
      <c r="H352" s="22"/>
    </row>
    <row r="353">
      <c r="A353" s="20"/>
      <c r="B353" s="20"/>
      <c r="C353" s="21"/>
      <c r="D353" s="23"/>
      <c r="H353" s="22"/>
    </row>
    <row r="354">
      <c r="A354" s="20"/>
      <c r="B354" s="20"/>
      <c r="C354" s="21"/>
      <c r="D354" s="23"/>
      <c r="H354" s="22"/>
    </row>
    <row r="355">
      <c r="A355" s="20"/>
      <c r="B355" s="20"/>
      <c r="C355" s="21"/>
      <c r="D355" s="23"/>
      <c r="H355" s="22"/>
    </row>
    <row r="356">
      <c r="A356" s="20"/>
      <c r="B356" s="20"/>
      <c r="C356" s="21"/>
      <c r="D356" s="23"/>
      <c r="H356" s="22"/>
    </row>
    <row r="357">
      <c r="A357" s="20"/>
      <c r="B357" s="20"/>
      <c r="C357" s="21"/>
      <c r="D357" s="23"/>
      <c r="H357" s="22"/>
    </row>
    <row r="358">
      <c r="A358" s="20"/>
      <c r="B358" s="20"/>
      <c r="C358" s="21"/>
      <c r="D358" s="23"/>
      <c r="H358" s="22"/>
    </row>
    <row r="359">
      <c r="A359" s="20"/>
      <c r="B359" s="20"/>
      <c r="C359" s="21"/>
      <c r="D359" s="23"/>
      <c r="H359" s="22"/>
    </row>
    <row r="360">
      <c r="A360" s="20"/>
      <c r="B360" s="20"/>
      <c r="C360" s="21"/>
      <c r="D360" s="23"/>
      <c r="H360" s="22"/>
    </row>
    <row r="361">
      <c r="A361" s="20"/>
      <c r="B361" s="20"/>
      <c r="C361" s="21"/>
      <c r="D361" s="23"/>
      <c r="H361" s="22"/>
    </row>
    <row r="362">
      <c r="A362" s="20"/>
      <c r="B362" s="20"/>
      <c r="C362" s="21"/>
      <c r="D362" s="23"/>
      <c r="H362" s="22"/>
    </row>
    <row r="363">
      <c r="A363" s="20"/>
      <c r="B363" s="20"/>
      <c r="C363" s="21"/>
      <c r="D363" s="23"/>
      <c r="H363" s="22"/>
    </row>
    <row r="364">
      <c r="A364" s="20"/>
      <c r="B364" s="20"/>
      <c r="C364" s="21"/>
      <c r="D364" s="23"/>
      <c r="H364" s="22"/>
    </row>
    <row r="365">
      <c r="A365" s="20"/>
      <c r="B365" s="20"/>
      <c r="C365" s="21"/>
      <c r="D365" s="23"/>
      <c r="H365" s="22"/>
    </row>
    <row r="366">
      <c r="A366" s="20"/>
      <c r="B366" s="20"/>
      <c r="C366" s="21"/>
      <c r="D366" s="23"/>
      <c r="H366" s="22"/>
    </row>
    <row r="367">
      <c r="A367" s="20"/>
      <c r="B367" s="20"/>
      <c r="C367" s="21"/>
      <c r="D367" s="23"/>
      <c r="H367" s="22"/>
    </row>
    <row r="368">
      <c r="A368" s="20"/>
      <c r="B368" s="20"/>
      <c r="C368" s="21"/>
      <c r="D368" s="23"/>
      <c r="H368" s="22"/>
    </row>
    <row r="369">
      <c r="A369" s="20"/>
      <c r="B369" s="20"/>
      <c r="C369" s="21"/>
      <c r="D369" s="23"/>
      <c r="H369" s="22"/>
    </row>
    <row r="370">
      <c r="A370" s="20"/>
      <c r="B370" s="20"/>
      <c r="C370" s="21"/>
      <c r="D370" s="23"/>
      <c r="H370" s="22"/>
    </row>
    <row r="371">
      <c r="A371" s="20"/>
      <c r="B371" s="20"/>
      <c r="C371" s="21"/>
      <c r="D371" s="23"/>
      <c r="H371" s="22"/>
    </row>
    <row r="372">
      <c r="A372" s="20"/>
      <c r="B372" s="20"/>
      <c r="C372" s="21"/>
      <c r="D372" s="23"/>
      <c r="H372" s="22"/>
    </row>
    <row r="373">
      <c r="A373" s="20"/>
      <c r="B373" s="20"/>
      <c r="C373" s="21"/>
      <c r="D373" s="23"/>
      <c r="H373" s="22"/>
    </row>
    <row r="374">
      <c r="A374" s="20"/>
      <c r="B374" s="20"/>
      <c r="C374" s="21"/>
      <c r="D374" s="23"/>
      <c r="H374" s="22"/>
    </row>
    <row r="375">
      <c r="A375" s="20"/>
      <c r="B375" s="20"/>
      <c r="C375" s="21"/>
      <c r="D375" s="23"/>
      <c r="H375" s="22"/>
    </row>
    <row r="376">
      <c r="A376" s="20"/>
      <c r="B376" s="20"/>
      <c r="C376" s="21"/>
      <c r="D376" s="23"/>
      <c r="H376" s="22"/>
    </row>
    <row r="377">
      <c r="A377" s="20"/>
      <c r="B377" s="20"/>
      <c r="C377" s="21"/>
      <c r="D377" s="23"/>
      <c r="H377" s="22"/>
    </row>
    <row r="378">
      <c r="A378" s="20"/>
      <c r="B378" s="20"/>
      <c r="C378" s="21"/>
      <c r="D378" s="23"/>
      <c r="H378" s="22"/>
    </row>
    <row r="379">
      <c r="A379" s="20"/>
      <c r="B379" s="20"/>
      <c r="C379" s="21"/>
      <c r="D379" s="23"/>
      <c r="H379" s="22"/>
    </row>
    <row r="380">
      <c r="A380" s="20"/>
      <c r="B380" s="20"/>
      <c r="C380" s="21"/>
      <c r="D380" s="23"/>
      <c r="H380" s="22"/>
    </row>
    <row r="381">
      <c r="A381" s="20"/>
      <c r="B381" s="20"/>
      <c r="C381" s="21"/>
      <c r="D381" s="23"/>
      <c r="H381" s="22"/>
    </row>
    <row r="382">
      <c r="A382" s="20"/>
      <c r="B382" s="20"/>
      <c r="C382" s="21"/>
      <c r="D382" s="23"/>
      <c r="H382" s="22"/>
    </row>
    <row r="383">
      <c r="A383" s="20"/>
      <c r="B383" s="20"/>
      <c r="C383" s="21"/>
      <c r="D383" s="23"/>
      <c r="H383" s="22"/>
    </row>
    <row r="384">
      <c r="A384" s="20"/>
      <c r="B384" s="20"/>
      <c r="C384" s="21"/>
      <c r="D384" s="23"/>
      <c r="H384" s="22"/>
    </row>
    <row r="385">
      <c r="A385" s="20"/>
      <c r="B385" s="20"/>
      <c r="C385" s="21"/>
      <c r="D385" s="23"/>
      <c r="H385" s="22"/>
    </row>
    <row r="386">
      <c r="A386" s="20"/>
      <c r="B386" s="20"/>
      <c r="C386" s="21"/>
      <c r="D386" s="23"/>
      <c r="H386" s="22"/>
    </row>
    <row r="387">
      <c r="A387" s="20"/>
      <c r="B387" s="20"/>
      <c r="C387" s="21"/>
      <c r="D387" s="23"/>
      <c r="H387" s="22"/>
    </row>
    <row r="388">
      <c r="A388" s="20"/>
      <c r="B388" s="20"/>
      <c r="C388" s="21"/>
      <c r="D388" s="23"/>
      <c r="H388" s="22"/>
    </row>
    <row r="389">
      <c r="A389" s="20"/>
      <c r="B389" s="20"/>
      <c r="C389" s="21"/>
      <c r="D389" s="23"/>
      <c r="H389" s="22"/>
    </row>
    <row r="390">
      <c r="A390" s="20"/>
      <c r="B390" s="20"/>
      <c r="C390" s="21"/>
      <c r="D390" s="23"/>
      <c r="H390" s="22"/>
    </row>
    <row r="391">
      <c r="A391" s="20"/>
      <c r="B391" s="20"/>
      <c r="C391" s="21"/>
      <c r="D391" s="23"/>
      <c r="H391" s="22"/>
    </row>
    <row r="392">
      <c r="A392" s="20"/>
      <c r="B392" s="20"/>
      <c r="C392" s="21"/>
      <c r="D392" s="23"/>
      <c r="H392" s="22"/>
    </row>
    <row r="393">
      <c r="A393" s="20"/>
      <c r="B393" s="20"/>
      <c r="C393" s="21"/>
      <c r="D393" s="23"/>
      <c r="H393" s="22"/>
    </row>
    <row r="394">
      <c r="A394" s="20"/>
      <c r="B394" s="20"/>
      <c r="C394" s="21"/>
      <c r="D394" s="23"/>
      <c r="H394" s="22"/>
    </row>
    <row r="395">
      <c r="A395" s="20"/>
      <c r="B395" s="20"/>
      <c r="C395" s="21"/>
      <c r="D395" s="23"/>
      <c r="H395" s="22"/>
    </row>
    <row r="396">
      <c r="A396" s="20"/>
      <c r="B396" s="20"/>
      <c r="C396" s="21"/>
      <c r="D396" s="23"/>
      <c r="H396" s="22"/>
    </row>
    <row r="397">
      <c r="A397" s="20"/>
      <c r="B397" s="20"/>
      <c r="C397" s="21"/>
      <c r="D397" s="23"/>
      <c r="H397" s="22"/>
    </row>
    <row r="398">
      <c r="A398" s="20"/>
      <c r="B398" s="20"/>
      <c r="C398" s="21"/>
      <c r="D398" s="23"/>
      <c r="H398" s="22"/>
    </row>
    <row r="399">
      <c r="A399" s="20"/>
      <c r="B399" s="20"/>
      <c r="C399" s="21"/>
      <c r="D399" s="23"/>
      <c r="H399" s="22"/>
    </row>
    <row r="400">
      <c r="A400" s="20"/>
      <c r="B400" s="20"/>
      <c r="C400" s="21"/>
      <c r="D400" s="23"/>
      <c r="H400" s="22"/>
    </row>
    <row r="401">
      <c r="A401" s="20"/>
      <c r="B401" s="20"/>
      <c r="C401" s="21"/>
      <c r="D401" s="23"/>
      <c r="H401" s="22"/>
    </row>
    <row r="402">
      <c r="A402" s="20"/>
      <c r="B402" s="20"/>
      <c r="C402" s="21"/>
      <c r="D402" s="23"/>
      <c r="H402" s="22"/>
    </row>
    <row r="403">
      <c r="A403" s="20"/>
      <c r="B403" s="20"/>
      <c r="C403" s="21"/>
      <c r="D403" s="23"/>
      <c r="H403" s="22"/>
    </row>
    <row r="404">
      <c r="A404" s="20"/>
      <c r="B404" s="20"/>
      <c r="C404" s="21"/>
      <c r="D404" s="23"/>
      <c r="H404" s="22"/>
    </row>
    <row r="405">
      <c r="A405" s="20"/>
      <c r="B405" s="20"/>
      <c r="C405" s="21"/>
      <c r="D405" s="23"/>
      <c r="H405" s="22"/>
    </row>
    <row r="406">
      <c r="A406" s="20"/>
      <c r="B406" s="20"/>
      <c r="C406" s="21"/>
      <c r="D406" s="23"/>
      <c r="H406" s="22"/>
    </row>
    <row r="407">
      <c r="A407" s="20"/>
      <c r="B407" s="20"/>
      <c r="C407" s="21"/>
      <c r="D407" s="23"/>
      <c r="H407" s="22"/>
    </row>
    <row r="408">
      <c r="A408" s="20"/>
      <c r="B408" s="20"/>
      <c r="C408" s="21"/>
      <c r="D408" s="23"/>
      <c r="H408" s="22"/>
    </row>
    <row r="409">
      <c r="A409" s="20"/>
      <c r="B409" s="20"/>
      <c r="C409" s="21"/>
      <c r="D409" s="23"/>
      <c r="H409" s="22"/>
    </row>
    <row r="410">
      <c r="A410" s="20"/>
      <c r="B410" s="20"/>
      <c r="C410" s="21"/>
      <c r="D410" s="23"/>
      <c r="H410" s="22"/>
    </row>
    <row r="411">
      <c r="A411" s="20"/>
      <c r="B411" s="20"/>
      <c r="C411" s="21"/>
      <c r="D411" s="23"/>
      <c r="H411" s="22"/>
    </row>
    <row r="412">
      <c r="A412" s="20"/>
      <c r="B412" s="20"/>
      <c r="C412" s="21"/>
      <c r="D412" s="23"/>
      <c r="H412" s="22"/>
    </row>
    <row r="413">
      <c r="A413" s="20"/>
      <c r="B413" s="20"/>
      <c r="C413" s="21"/>
      <c r="D413" s="23"/>
      <c r="H413" s="22"/>
    </row>
    <row r="414">
      <c r="A414" s="20"/>
      <c r="B414" s="20"/>
      <c r="C414" s="21"/>
      <c r="D414" s="23"/>
      <c r="H414" s="22"/>
    </row>
    <row r="415">
      <c r="A415" s="20"/>
      <c r="B415" s="20"/>
      <c r="C415" s="21"/>
      <c r="D415" s="23"/>
      <c r="H415" s="22"/>
    </row>
    <row r="416">
      <c r="A416" s="20"/>
      <c r="B416" s="20"/>
      <c r="C416" s="21"/>
      <c r="D416" s="23"/>
      <c r="H416" s="22"/>
    </row>
    <row r="417">
      <c r="A417" s="20"/>
      <c r="B417" s="20"/>
      <c r="C417" s="21"/>
      <c r="D417" s="23"/>
      <c r="H417" s="22"/>
    </row>
    <row r="418">
      <c r="A418" s="20"/>
      <c r="B418" s="20"/>
      <c r="C418" s="21"/>
      <c r="D418" s="23"/>
      <c r="H418" s="22"/>
    </row>
    <row r="419">
      <c r="A419" s="20"/>
      <c r="B419" s="20"/>
      <c r="C419" s="21"/>
      <c r="D419" s="23"/>
      <c r="H419" s="22"/>
    </row>
    <row r="420">
      <c r="A420" s="20"/>
      <c r="B420" s="20"/>
      <c r="C420" s="21"/>
      <c r="D420" s="23"/>
      <c r="H420" s="22"/>
    </row>
    <row r="421">
      <c r="A421" s="20"/>
      <c r="B421" s="20"/>
      <c r="C421" s="21"/>
      <c r="D421" s="23"/>
      <c r="H421" s="22"/>
    </row>
    <row r="422">
      <c r="A422" s="20"/>
      <c r="B422" s="20"/>
      <c r="C422" s="21"/>
      <c r="D422" s="23"/>
      <c r="H422" s="22"/>
    </row>
    <row r="423">
      <c r="A423" s="20"/>
      <c r="B423" s="20"/>
      <c r="C423" s="21"/>
      <c r="D423" s="23"/>
      <c r="H423" s="22"/>
    </row>
    <row r="424">
      <c r="A424" s="20"/>
      <c r="B424" s="20"/>
      <c r="C424" s="21"/>
      <c r="D424" s="23"/>
      <c r="H424" s="22"/>
    </row>
    <row r="425">
      <c r="A425" s="20"/>
      <c r="B425" s="20"/>
      <c r="C425" s="21"/>
      <c r="D425" s="23"/>
      <c r="H425" s="22"/>
    </row>
    <row r="426">
      <c r="A426" s="20"/>
      <c r="B426" s="20"/>
      <c r="C426" s="21"/>
      <c r="D426" s="23"/>
      <c r="H426" s="22"/>
    </row>
    <row r="427">
      <c r="A427" s="20"/>
      <c r="B427" s="20"/>
      <c r="C427" s="21"/>
      <c r="D427" s="23"/>
      <c r="H427" s="22"/>
    </row>
    <row r="428">
      <c r="A428" s="20"/>
      <c r="B428" s="20"/>
      <c r="C428" s="21"/>
      <c r="D428" s="23"/>
      <c r="H428" s="22"/>
    </row>
    <row r="429">
      <c r="A429" s="20"/>
      <c r="B429" s="20"/>
      <c r="C429" s="21"/>
      <c r="D429" s="23"/>
      <c r="H429" s="22"/>
    </row>
    <row r="430">
      <c r="A430" s="20"/>
      <c r="B430" s="20"/>
      <c r="C430" s="21"/>
      <c r="D430" s="23"/>
      <c r="H430" s="22"/>
    </row>
    <row r="431">
      <c r="A431" s="20"/>
      <c r="B431" s="20"/>
      <c r="C431" s="21"/>
      <c r="D431" s="23"/>
      <c r="H431" s="22"/>
    </row>
    <row r="432">
      <c r="A432" s="20"/>
      <c r="B432" s="20"/>
      <c r="C432" s="21"/>
      <c r="D432" s="23"/>
      <c r="H432" s="22"/>
    </row>
    <row r="433">
      <c r="A433" s="20"/>
      <c r="B433" s="20"/>
      <c r="C433" s="21"/>
      <c r="D433" s="23"/>
      <c r="H433" s="22"/>
    </row>
    <row r="434">
      <c r="A434" s="20"/>
      <c r="B434" s="20"/>
      <c r="C434" s="21"/>
      <c r="D434" s="23"/>
      <c r="H434" s="22"/>
    </row>
    <row r="435">
      <c r="A435" s="20"/>
      <c r="B435" s="20"/>
      <c r="C435" s="21"/>
      <c r="D435" s="23"/>
      <c r="H435" s="22"/>
    </row>
    <row r="436">
      <c r="A436" s="20"/>
      <c r="B436" s="20"/>
      <c r="C436" s="21"/>
      <c r="D436" s="23"/>
      <c r="H436" s="22"/>
    </row>
    <row r="437">
      <c r="A437" s="20"/>
      <c r="B437" s="20"/>
      <c r="C437" s="21"/>
      <c r="D437" s="23"/>
      <c r="H437" s="22"/>
    </row>
    <row r="438">
      <c r="A438" s="20"/>
      <c r="B438" s="20"/>
      <c r="C438" s="21"/>
      <c r="D438" s="23"/>
      <c r="H438" s="22"/>
    </row>
    <row r="439">
      <c r="A439" s="20"/>
      <c r="B439" s="20"/>
      <c r="C439" s="21"/>
      <c r="D439" s="23"/>
      <c r="H439" s="22"/>
    </row>
    <row r="440">
      <c r="A440" s="20"/>
      <c r="B440" s="20"/>
      <c r="C440" s="21"/>
      <c r="D440" s="23"/>
      <c r="H440" s="22"/>
    </row>
    <row r="441">
      <c r="A441" s="20"/>
      <c r="B441" s="20"/>
      <c r="C441" s="21"/>
      <c r="D441" s="23"/>
      <c r="H441" s="22"/>
    </row>
    <row r="442">
      <c r="A442" s="20"/>
      <c r="B442" s="20"/>
      <c r="C442" s="21"/>
      <c r="D442" s="23"/>
      <c r="H442" s="22"/>
    </row>
    <row r="443">
      <c r="A443" s="20"/>
      <c r="B443" s="20"/>
      <c r="C443" s="21"/>
      <c r="D443" s="23"/>
      <c r="H443" s="22"/>
    </row>
    <row r="444">
      <c r="A444" s="20"/>
      <c r="B444" s="20"/>
      <c r="C444" s="21"/>
      <c r="D444" s="23"/>
      <c r="H444" s="22"/>
    </row>
    <row r="445">
      <c r="A445" s="20"/>
      <c r="B445" s="20"/>
      <c r="C445" s="21"/>
      <c r="D445" s="23"/>
      <c r="H445" s="22"/>
    </row>
    <row r="446">
      <c r="A446" s="20"/>
      <c r="B446" s="20"/>
      <c r="C446" s="21"/>
      <c r="D446" s="23"/>
      <c r="H446" s="22"/>
    </row>
    <row r="447">
      <c r="A447" s="20"/>
      <c r="B447" s="20"/>
      <c r="C447" s="21"/>
      <c r="D447" s="23"/>
      <c r="H447" s="22"/>
    </row>
    <row r="448">
      <c r="A448" s="20"/>
      <c r="B448" s="20"/>
      <c r="C448" s="21"/>
      <c r="D448" s="23"/>
      <c r="H448" s="22"/>
    </row>
    <row r="449">
      <c r="A449" s="20"/>
      <c r="B449" s="20"/>
      <c r="C449" s="21"/>
      <c r="D449" s="23"/>
      <c r="H449" s="22"/>
    </row>
    <row r="450">
      <c r="A450" s="20"/>
      <c r="B450" s="20"/>
      <c r="C450" s="21"/>
      <c r="D450" s="23"/>
      <c r="H450" s="22"/>
    </row>
    <row r="451">
      <c r="A451" s="20"/>
      <c r="B451" s="20"/>
      <c r="C451" s="21"/>
      <c r="D451" s="23"/>
      <c r="H451" s="22"/>
    </row>
    <row r="452">
      <c r="A452" s="20"/>
      <c r="B452" s="20"/>
      <c r="C452" s="21"/>
      <c r="D452" s="23"/>
      <c r="H452" s="22"/>
    </row>
    <row r="453">
      <c r="A453" s="20"/>
      <c r="B453" s="20"/>
      <c r="C453" s="21"/>
      <c r="D453" s="23"/>
      <c r="H453" s="22"/>
    </row>
    <row r="454">
      <c r="A454" s="20"/>
      <c r="B454" s="20"/>
      <c r="C454" s="21"/>
      <c r="D454" s="23"/>
      <c r="H454" s="22"/>
    </row>
    <row r="455">
      <c r="A455" s="20"/>
      <c r="B455" s="20"/>
      <c r="C455" s="21"/>
      <c r="D455" s="23"/>
      <c r="H455" s="22"/>
    </row>
    <row r="456">
      <c r="A456" s="20"/>
      <c r="B456" s="20"/>
      <c r="C456" s="21"/>
      <c r="D456" s="23"/>
      <c r="H456" s="22"/>
    </row>
    <row r="457">
      <c r="A457" s="20"/>
      <c r="B457" s="20"/>
      <c r="C457" s="21"/>
      <c r="D457" s="23"/>
      <c r="H457" s="22"/>
    </row>
    <row r="458">
      <c r="A458" s="20"/>
      <c r="B458" s="20"/>
      <c r="C458" s="21"/>
      <c r="D458" s="23"/>
      <c r="H458" s="22"/>
    </row>
    <row r="459">
      <c r="A459" s="20"/>
      <c r="B459" s="20"/>
      <c r="C459" s="21"/>
      <c r="D459" s="23"/>
      <c r="H459" s="22"/>
    </row>
    <row r="460">
      <c r="A460" s="20"/>
      <c r="B460" s="20"/>
      <c r="C460" s="21"/>
      <c r="D460" s="23"/>
      <c r="H460" s="22"/>
    </row>
    <row r="461">
      <c r="A461" s="20"/>
      <c r="B461" s="20"/>
      <c r="C461" s="21"/>
      <c r="D461" s="23"/>
      <c r="H461" s="22"/>
    </row>
    <row r="462">
      <c r="A462" s="20"/>
      <c r="B462" s="20"/>
      <c r="C462" s="21"/>
      <c r="D462" s="23"/>
      <c r="H462" s="22"/>
    </row>
    <row r="463">
      <c r="A463" s="20"/>
      <c r="B463" s="20"/>
      <c r="C463" s="21"/>
      <c r="D463" s="23"/>
      <c r="H463" s="22"/>
    </row>
    <row r="464">
      <c r="A464" s="20"/>
      <c r="B464" s="20"/>
      <c r="C464" s="21"/>
      <c r="D464" s="23"/>
      <c r="H464" s="22"/>
    </row>
    <row r="465">
      <c r="A465" s="20"/>
      <c r="B465" s="20"/>
      <c r="C465" s="21"/>
      <c r="D465" s="23"/>
      <c r="H465" s="22"/>
    </row>
    <row r="466">
      <c r="A466" s="20"/>
      <c r="B466" s="20"/>
      <c r="C466" s="21"/>
      <c r="D466" s="23"/>
      <c r="H466" s="22"/>
    </row>
    <row r="467">
      <c r="A467" s="20"/>
      <c r="B467" s="20"/>
      <c r="C467" s="21"/>
      <c r="D467" s="23"/>
      <c r="H467" s="22"/>
    </row>
    <row r="468">
      <c r="A468" s="20"/>
      <c r="B468" s="20"/>
      <c r="C468" s="21"/>
      <c r="D468" s="23"/>
      <c r="H468" s="22"/>
    </row>
    <row r="469">
      <c r="A469" s="20"/>
      <c r="B469" s="20"/>
      <c r="C469" s="21"/>
      <c r="D469" s="23"/>
      <c r="H469" s="22"/>
    </row>
    <row r="470">
      <c r="A470" s="20"/>
      <c r="B470" s="20"/>
      <c r="C470" s="21"/>
      <c r="D470" s="23"/>
      <c r="H470" s="22"/>
    </row>
    <row r="471">
      <c r="A471" s="20"/>
      <c r="B471" s="20"/>
      <c r="C471" s="21"/>
      <c r="D471" s="23"/>
      <c r="H471" s="22"/>
    </row>
    <row r="472">
      <c r="A472" s="20"/>
      <c r="B472" s="20"/>
      <c r="C472" s="21"/>
      <c r="D472" s="23"/>
      <c r="H472" s="22"/>
    </row>
    <row r="473">
      <c r="A473" s="20"/>
      <c r="B473" s="20"/>
      <c r="C473" s="21"/>
      <c r="D473" s="23"/>
      <c r="H473" s="22"/>
    </row>
    <row r="474">
      <c r="A474" s="20"/>
      <c r="B474" s="20"/>
      <c r="C474" s="21"/>
      <c r="D474" s="23"/>
      <c r="H474" s="22"/>
    </row>
    <row r="475">
      <c r="A475" s="20"/>
      <c r="B475" s="20"/>
      <c r="C475" s="21"/>
      <c r="D475" s="23"/>
      <c r="H475" s="22"/>
    </row>
    <row r="476">
      <c r="A476" s="20"/>
      <c r="B476" s="20"/>
      <c r="C476" s="21"/>
      <c r="D476" s="23"/>
      <c r="H476" s="22"/>
    </row>
    <row r="477">
      <c r="A477" s="20"/>
      <c r="B477" s="20"/>
      <c r="C477" s="21"/>
      <c r="D477" s="23"/>
      <c r="H477" s="22"/>
    </row>
    <row r="478">
      <c r="A478" s="20"/>
      <c r="B478" s="20"/>
      <c r="C478" s="21"/>
      <c r="D478" s="23"/>
      <c r="H478" s="22"/>
    </row>
    <row r="479">
      <c r="A479" s="20"/>
      <c r="B479" s="20"/>
      <c r="C479" s="21"/>
      <c r="D479" s="23"/>
      <c r="H479" s="22"/>
    </row>
    <row r="480">
      <c r="A480" s="20"/>
      <c r="B480" s="20"/>
      <c r="C480" s="21"/>
      <c r="D480" s="23"/>
      <c r="H480" s="22"/>
    </row>
    <row r="481">
      <c r="A481" s="20"/>
      <c r="B481" s="20"/>
      <c r="C481" s="21"/>
      <c r="D481" s="23"/>
      <c r="H481" s="22"/>
    </row>
    <row r="482">
      <c r="A482" s="20"/>
      <c r="B482" s="20"/>
      <c r="C482" s="21"/>
      <c r="D482" s="23"/>
      <c r="H482" s="22"/>
    </row>
    <row r="483">
      <c r="A483" s="20"/>
      <c r="B483" s="20"/>
      <c r="C483" s="21"/>
      <c r="D483" s="23"/>
      <c r="H483" s="22"/>
    </row>
    <row r="484">
      <c r="A484" s="20"/>
      <c r="B484" s="20"/>
      <c r="C484" s="21"/>
      <c r="D484" s="23"/>
      <c r="H484" s="22"/>
    </row>
    <row r="485">
      <c r="A485" s="20"/>
      <c r="B485" s="20"/>
      <c r="C485" s="21"/>
      <c r="D485" s="23"/>
      <c r="H485" s="22"/>
    </row>
    <row r="486">
      <c r="A486" s="20"/>
      <c r="B486" s="20"/>
      <c r="C486" s="21"/>
      <c r="D486" s="23"/>
      <c r="H486" s="22"/>
    </row>
    <row r="487">
      <c r="A487" s="20"/>
      <c r="B487" s="20"/>
      <c r="C487" s="21"/>
      <c r="D487" s="23"/>
      <c r="H487" s="22"/>
    </row>
    <row r="488">
      <c r="A488" s="20"/>
      <c r="B488" s="20"/>
      <c r="C488" s="21"/>
      <c r="D488" s="23"/>
      <c r="H488" s="22"/>
    </row>
    <row r="489">
      <c r="A489" s="20"/>
      <c r="B489" s="20"/>
      <c r="C489" s="21"/>
      <c r="D489" s="23"/>
      <c r="H489" s="22"/>
    </row>
    <row r="490">
      <c r="A490" s="20"/>
      <c r="B490" s="20"/>
      <c r="C490" s="21"/>
      <c r="D490" s="23"/>
      <c r="H490" s="22"/>
    </row>
    <row r="491">
      <c r="A491" s="20"/>
      <c r="B491" s="20"/>
      <c r="C491" s="21"/>
      <c r="D491" s="23"/>
      <c r="H491" s="22"/>
    </row>
    <row r="492">
      <c r="A492" s="20"/>
      <c r="B492" s="20"/>
      <c r="C492" s="21"/>
      <c r="D492" s="23"/>
      <c r="H492" s="22"/>
    </row>
    <row r="493">
      <c r="A493" s="20"/>
      <c r="B493" s="20"/>
      <c r="C493" s="21"/>
      <c r="D493" s="23"/>
      <c r="H493" s="22"/>
    </row>
    <row r="494">
      <c r="A494" s="20"/>
      <c r="B494" s="20"/>
      <c r="C494" s="21"/>
      <c r="D494" s="23"/>
      <c r="H494" s="22"/>
    </row>
    <row r="495">
      <c r="A495" s="20"/>
      <c r="B495" s="20"/>
      <c r="C495" s="21"/>
      <c r="D495" s="23"/>
      <c r="H495" s="22"/>
    </row>
    <row r="496">
      <c r="A496" s="20"/>
      <c r="B496" s="20"/>
      <c r="C496" s="21"/>
      <c r="D496" s="23"/>
      <c r="H496" s="22"/>
    </row>
    <row r="497">
      <c r="A497" s="20"/>
      <c r="B497" s="20"/>
      <c r="C497" s="21"/>
      <c r="D497" s="23"/>
      <c r="H497" s="22"/>
    </row>
    <row r="498">
      <c r="A498" s="20"/>
      <c r="B498" s="20"/>
      <c r="C498" s="21"/>
      <c r="D498" s="23"/>
      <c r="H498" s="22"/>
    </row>
    <row r="499">
      <c r="A499" s="20"/>
      <c r="B499" s="20"/>
      <c r="C499" s="21"/>
      <c r="D499" s="23"/>
      <c r="H499" s="22"/>
    </row>
    <row r="500">
      <c r="A500" s="20"/>
      <c r="B500" s="20"/>
      <c r="C500" s="21"/>
      <c r="D500" s="23"/>
      <c r="H500" s="22"/>
    </row>
    <row r="501">
      <c r="A501" s="20"/>
      <c r="B501" s="20"/>
      <c r="C501" s="21"/>
      <c r="D501" s="23"/>
      <c r="H501" s="22"/>
    </row>
    <row r="502">
      <c r="A502" s="20"/>
      <c r="B502" s="20"/>
      <c r="C502" s="21"/>
      <c r="D502" s="23"/>
      <c r="H502" s="22"/>
    </row>
    <row r="503">
      <c r="A503" s="20"/>
      <c r="B503" s="20"/>
      <c r="C503" s="21"/>
      <c r="D503" s="23"/>
      <c r="H503" s="22"/>
    </row>
    <row r="504">
      <c r="A504" s="20"/>
      <c r="B504" s="20"/>
      <c r="C504" s="21"/>
      <c r="D504" s="23"/>
      <c r="H504" s="22"/>
    </row>
    <row r="505">
      <c r="A505" s="20"/>
      <c r="B505" s="20"/>
      <c r="C505" s="21"/>
      <c r="D505" s="23"/>
      <c r="H505" s="22"/>
    </row>
    <row r="506">
      <c r="A506" s="20"/>
      <c r="B506" s="20"/>
      <c r="C506" s="21"/>
      <c r="D506" s="23"/>
      <c r="H506" s="22"/>
    </row>
    <row r="507">
      <c r="A507" s="20"/>
      <c r="B507" s="20"/>
      <c r="C507" s="21"/>
      <c r="D507" s="23"/>
      <c r="H507" s="22"/>
    </row>
    <row r="508">
      <c r="A508" s="20"/>
      <c r="B508" s="20"/>
      <c r="C508" s="21"/>
      <c r="D508" s="23"/>
      <c r="H508" s="22"/>
    </row>
    <row r="509">
      <c r="A509" s="20"/>
      <c r="B509" s="20"/>
      <c r="C509" s="21"/>
      <c r="D509" s="23"/>
      <c r="H509" s="22"/>
    </row>
    <row r="510">
      <c r="A510" s="20"/>
      <c r="B510" s="20"/>
      <c r="C510" s="21"/>
      <c r="D510" s="23"/>
      <c r="H510" s="22"/>
    </row>
    <row r="511">
      <c r="A511" s="20"/>
      <c r="B511" s="20"/>
      <c r="C511" s="21"/>
      <c r="D511" s="23"/>
      <c r="H511" s="22"/>
    </row>
    <row r="512">
      <c r="A512" s="20"/>
      <c r="B512" s="20"/>
      <c r="C512" s="21"/>
      <c r="D512" s="23"/>
      <c r="H512" s="22"/>
    </row>
    <row r="513">
      <c r="A513" s="20"/>
      <c r="B513" s="20"/>
      <c r="C513" s="21"/>
      <c r="D513" s="23"/>
      <c r="H513" s="22"/>
    </row>
    <row r="514">
      <c r="A514" s="20"/>
      <c r="B514" s="20"/>
      <c r="C514" s="21"/>
      <c r="D514" s="23"/>
      <c r="H514" s="22"/>
    </row>
    <row r="515">
      <c r="A515" s="20"/>
      <c r="B515" s="20"/>
      <c r="C515" s="21"/>
      <c r="D515" s="23"/>
      <c r="H515" s="22"/>
    </row>
    <row r="516">
      <c r="A516" s="20"/>
      <c r="B516" s="20"/>
      <c r="C516" s="21"/>
      <c r="D516" s="23"/>
      <c r="H516" s="22"/>
    </row>
    <row r="517">
      <c r="A517" s="20"/>
      <c r="B517" s="20"/>
      <c r="C517" s="21"/>
      <c r="D517" s="23"/>
      <c r="H517" s="22"/>
    </row>
    <row r="518">
      <c r="A518" s="20"/>
      <c r="B518" s="20"/>
      <c r="C518" s="21"/>
      <c r="D518" s="23"/>
      <c r="H518" s="22"/>
    </row>
    <row r="519">
      <c r="A519" s="20"/>
      <c r="B519" s="20"/>
      <c r="C519" s="21"/>
      <c r="D519" s="23"/>
      <c r="H519" s="22"/>
    </row>
    <row r="520">
      <c r="A520" s="20"/>
      <c r="B520" s="20"/>
      <c r="C520" s="21"/>
      <c r="D520" s="23"/>
      <c r="H520" s="22"/>
    </row>
    <row r="521">
      <c r="A521" s="20"/>
      <c r="B521" s="20"/>
      <c r="C521" s="21"/>
      <c r="D521" s="23"/>
      <c r="H521" s="22"/>
    </row>
    <row r="522">
      <c r="A522" s="20"/>
      <c r="B522" s="20"/>
      <c r="C522" s="21"/>
      <c r="D522" s="23"/>
      <c r="H522" s="22"/>
    </row>
    <row r="523">
      <c r="A523" s="20"/>
      <c r="B523" s="20"/>
      <c r="C523" s="21"/>
      <c r="D523" s="23"/>
      <c r="H523" s="22"/>
    </row>
    <row r="524">
      <c r="A524" s="20"/>
      <c r="B524" s="20"/>
      <c r="C524" s="21"/>
      <c r="D524" s="23"/>
      <c r="H524" s="22"/>
    </row>
    <row r="525">
      <c r="A525" s="20"/>
      <c r="B525" s="20"/>
      <c r="C525" s="21"/>
      <c r="D525" s="23"/>
      <c r="H525" s="22"/>
    </row>
    <row r="526">
      <c r="A526" s="20"/>
      <c r="B526" s="20"/>
      <c r="C526" s="21"/>
      <c r="D526" s="23"/>
      <c r="H526" s="22"/>
    </row>
    <row r="527">
      <c r="A527" s="20"/>
      <c r="B527" s="20"/>
      <c r="C527" s="21"/>
      <c r="D527" s="23"/>
      <c r="H527" s="22"/>
    </row>
    <row r="528">
      <c r="A528" s="20"/>
      <c r="B528" s="20"/>
      <c r="C528" s="21"/>
      <c r="D528" s="23"/>
      <c r="H528" s="22"/>
    </row>
    <row r="529">
      <c r="A529" s="20"/>
      <c r="B529" s="20"/>
      <c r="C529" s="21"/>
      <c r="D529" s="23"/>
      <c r="H529" s="22"/>
    </row>
    <row r="530">
      <c r="A530" s="20"/>
      <c r="B530" s="20"/>
      <c r="C530" s="21"/>
      <c r="D530" s="23"/>
      <c r="H530" s="22"/>
    </row>
    <row r="531">
      <c r="A531" s="20"/>
      <c r="B531" s="20"/>
      <c r="C531" s="21"/>
      <c r="D531" s="23"/>
      <c r="H531" s="22"/>
    </row>
    <row r="532">
      <c r="A532" s="20"/>
      <c r="B532" s="20"/>
      <c r="C532" s="21"/>
      <c r="D532" s="23"/>
      <c r="H532" s="22"/>
    </row>
    <row r="533">
      <c r="A533" s="20"/>
      <c r="B533" s="20"/>
      <c r="C533" s="21"/>
      <c r="D533" s="23"/>
      <c r="H533" s="22"/>
    </row>
    <row r="534">
      <c r="A534" s="20"/>
      <c r="B534" s="20"/>
      <c r="C534" s="21"/>
      <c r="D534" s="23"/>
      <c r="H534" s="22"/>
    </row>
    <row r="535">
      <c r="A535" s="20"/>
      <c r="B535" s="20"/>
      <c r="C535" s="21"/>
      <c r="D535" s="23"/>
      <c r="H535" s="22"/>
    </row>
    <row r="536">
      <c r="A536" s="20"/>
      <c r="B536" s="20"/>
      <c r="C536" s="21"/>
      <c r="D536" s="23"/>
      <c r="H536" s="22"/>
    </row>
    <row r="537">
      <c r="A537" s="20"/>
      <c r="B537" s="20"/>
      <c r="C537" s="21"/>
      <c r="D537" s="23"/>
      <c r="H537" s="22"/>
    </row>
    <row r="538">
      <c r="A538" s="20"/>
      <c r="B538" s="20"/>
      <c r="C538" s="21"/>
      <c r="D538" s="23"/>
      <c r="H538" s="22"/>
    </row>
    <row r="539">
      <c r="A539" s="20"/>
      <c r="B539" s="20"/>
      <c r="C539" s="21"/>
      <c r="D539" s="23"/>
      <c r="H539" s="22"/>
    </row>
    <row r="540">
      <c r="A540" s="20"/>
      <c r="B540" s="20"/>
      <c r="C540" s="21"/>
      <c r="D540" s="23"/>
      <c r="H540" s="22"/>
    </row>
    <row r="541">
      <c r="A541" s="20"/>
      <c r="B541" s="20"/>
      <c r="C541" s="21"/>
      <c r="D541" s="23"/>
      <c r="H541" s="22"/>
    </row>
    <row r="542">
      <c r="A542" s="20"/>
      <c r="B542" s="20"/>
      <c r="C542" s="21"/>
      <c r="D542" s="23"/>
      <c r="H542" s="22"/>
    </row>
    <row r="543">
      <c r="A543" s="20"/>
      <c r="B543" s="20"/>
      <c r="C543" s="21"/>
      <c r="D543" s="23"/>
      <c r="H543" s="22"/>
    </row>
    <row r="544">
      <c r="A544" s="20"/>
      <c r="B544" s="20"/>
      <c r="C544" s="21"/>
      <c r="D544" s="23"/>
      <c r="H544" s="22"/>
    </row>
    <row r="545">
      <c r="A545" s="20"/>
      <c r="B545" s="20"/>
      <c r="C545" s="21"/>
      <c r="D545" s="23"/>
      <c r="H545" s="22"/>
    </row>
    <row r="546">
      <c r="A546" s="20"/>
      <c r="B546" s="20"/>
      <c r="C546" s="21"/>
      <c r="D546" s="23"/>
      <c r="H546" s="22"/>
    </row>
    <row r="547">
      <c r="A547" s="20"/>
      <c r="B547" s="20"/>
      <c r="C547" s="21"/>
      <c r="D547" s="23"/>
      <c r="H547" s="22"/>
    </row>
    <row r="548">
      <c r="A548" s="20"/>
      <c r="B548" s="20"/>
      <c r="C548" s="21"/>
      <c r="D548" s="23"/>
      <c r="H548" s="22"/>
    </row>
    <row r="549">
      <c r="A549" s="20"/>
      <c r="B549" s="20"/>
      <c r="C549" s="21"/>
      <c r="D549" s="23"/>
      <c r="H549" s="22"/>
    </row>
    <row r="550">
      <c r="A550" s="20"/>
      <c r="B550" s="20"/>
      <c r="C550" s="21"/>
      <c r="D550" s="23"/>
      <c r="H550" s="22"/>
    </row>
    <row r="551">
      <c r="A551" s="20"/>
      <c r="B551" s="20"/>
      <c r="C551" s="21"/>
      <c r="D551" s="23"/>
      <c r="H551" s="22"/>
    </row>
    <row r="552">
      <c r="A552" s="20"/>
      <c r="B552" s="20"/>
      <c r="C552" s="21"/>
      <c r="D552" s="23"/>
      <c r="H552" s="22"/>
    </row>
    <row r="553">
      <c r="A553" s="20"/>
      <c r="B553" s="20"/>
      <c r="C553" s="21"/>
      <c r="D553" s="23"/>
      <c r="H553" s="22"/>
    </row>
    <row r="554">
      <c r="A554" s="20"/>
      <c r="B554" s="20"/>
      <c r="C554" s="21"/>
      <c r="D554" s="23"/>
      <c r="H554" s="22"/>
    </row>
    <row r="555">
      <c r="A555" s="20"/>
      <c r="B555" s="20"/>
      <c r="C555" s="21"/>
      <c r="D555" s="23"/>
      <c r="H555" s="22"/>
    </row>
    <row r="556">
      <c r="A556" s="20"/>
      <c r="B556" s="20"/>
      <c r="C556" s="21"/>
      <c r="D556" s="23"/>
      <c r="H556" s="22"/>
    </row>
    <row r="557">
      <c r="A557" s="20"/>
      <c r="B557" s="20"/>
      <c r="C557" s="21"/>
      <c r="D557" s="23"/>
      <c r="H557" s="22"/>
    </row>
    <row r="558">
      <c r="A558" s="20"/>
      <c r="B558" s="20"/>
      <c r="C558" s="21"/>
      <c r="D558" s="23"/>
      <c r="H558" s="22"/>
    </row>
    <row r="559">
      <c r="A559" s="20"/>
      <c r="B559" s="20"/>
      <c r="C559" s="21"/>
      <c r="D559" s="23"/>
      <c r="H559" s="22"/>
    </row>
    <row r="560">
      <c r="A560" s="20"/>
      <c r="B560" s="20"/>
      <c r="C560" s="21"/>
      <c r="D560" s="23"/>
      <c r="H560" s="22"/>
    </row>
    <row r="561">
      <c r="A561" s="20"/>
      <c r="B561" s="20"/>
      <c r="C561" s="21"/>
      <c r="D561" s="23"/>
      <c r="H561" s="22"/>
    </row>
    <row r="562">
      <c r="A562" s="20"/>
      <c r="B562" s="20"/>
      <c r="C562" s="21"/>
      <c r="D562" s="23"/>
      <c r="H562" s="22"/>
    </row>
    <row r="563">
      <c r="A563" s="20"/>
      <c r="B563" s="20"/>
      <c r="C563" s="21"/>
      <c r="D563" s="23"/>
      <c r="H563" s="22"/>
    </row>
    <row r="564">
      <c r="A564" s="20"/>
      <c r="B564" s="20"/>
      <c r="C564" s="21"/>
      <c r="D564" s="23"/>
      <c r="H564" s="22"/>
    </row>
    <row r="565">
      <c r="A565" s="20"/>
      <c r="B565" s="20"/>
      <c r="C565" s="21"/>
      <c r="D565" s="23"/>
      <c r="H565" s="22"/>
    </row>
    <row r="566">
      <c r="A566" s="20"/>
      <c r="B566" s="20"/>
      <c r="C566" s="21"/>
      <c r="D566" s="23"/>
      <c r="H566" s="22"/>
    </row>
    <row r="567">
      <c r="A567" s="20"/>
      <c r="B567" s="20"/>
      <c r="C567" s="21"/>
      <c r="D567" s="23"/>
      <c r="H567" s="22"/>
    </row>
    <row r="568">
      <c r="A568" s="20"/>
      <c r="B568" s="20"/>
      <c r="C568" s="21"/>
      <c r="D568" s="23"/>
      <c r="H568" s="22"/>
    </row>
    <row r="569">
      <c r="A569" s="20"/>
      <c r="B569" s="20"/>
      <c r="C569" s="21"/>
      <c r="D569" s="23"/>
      <c r="H569" s="22"/>
    </row>
    <row r="570">
      <c r="A570" s="20"/>
      <c r="B570" s="20"/>
      <c r="C570" s="21"/>
      <c r="D570" s="23"/>
      <c r="H570" s="22"/>
    </row>
    <row r="571">
      <c r="A571" s="20"/>
      <c r="B571" s="20"/>
      <c r="C571" s="21"/>
      <c r="D571" s="23"/>
      <c r="H571" s="22"/>
    </row>
    <row r="572">
      <c r="A572" s="20"/>
      <c r="B572" s="20"/>
      <c r="C572" s="21"/>
      <c r="D572" s="23"/>
      <c r="H572" s="22"/>
    </row>
    <row r="573">
      <c r="A573" s="20"/>
      <c r="B573" s="20"/>
      <c r="C573" s="21"/>
      <c r="D573" s="23"/>
      <c r="H573" s="22"/>
    </row>
    <row r="574">
      <c r="A574" s="20"/>
      <c r="B574" s="20"/>
      <c r="C574" s="21"/>
      <c r="D574" s="23"/>
      <c r="H574" s="22"/>
    </row>
    <row r="575">
      <c r="A575" s="20"/>
      <c r="B575" s="20"/>
      <c r="C575" s="21"/>
      <c r="D575" s="23"/>
      <c r="H575" s="22"/>
    </row>
    <row r="576">
      <c r="A576" s="20"/>
      <c r="B576" s="20"/>
      <c r="C576" s="21"/>
      <c r="D576" s="23"/>
      <c r="H576" s="22"/>
    </row>
    <row r="577">
      <c r="A577" s="20"/>
      <c r="B577" s="20"/>
      <c r="C577" s="21"/>
      <c r="D577" s="23"/>
      <c r="H577" s="22"/>
    </row>
    <row r="578">
      <c r="A578" s="20"/>
      <c r="B578" s="20"/>
      <c r="C578" s="21"/>
      <c r="D578" s="23"/>
      <c r="H578" s="22"/>
    </row>
    <row r="579">
      <c r="A579" s="20"/>
      <c r="B579" s="20"/>
      <c r="C579" s="21"/>
      <c r="D579" s="23"/>
      <c r="H579" s="22"/>
    </row>
    <row r="580">
      <c r="A580" s="20"/>
      <c r="B580" s="20"/>
      <c r="C580" s="21"/>
      <c r="D580" s="23"/>
      <c r="H580" s="22"/>
    </row>
    <row r="581">
      <c r="A581" s="20"/>
      <c r="B581" s="20"/>
      <c r="C581" s="21"/>
      <c r="D581" s="23"/>
      <c r="H581" s="22"/>
    </row>
    <row r="582">
      <c r="A582" s="20"/>
      <c r="B582" s="20"/>
      <c r="C582" s="21"/>
      <c r="D582" s="23"/>
      <c r="H582" s="22"/>
    </row>
    <row r="583">
      <c r="A583" s="20"/>
      <c r="B583" s="20"/>
      <c r="C583" s="21"/>
      <c r="D583" s="23"/>
      <c r="H583" s="22"/>
    </row>
    <row r="584">
      <c r="A584" s="20"/>
      <c r="B584" s="20"/>
      <c r="C584" s="21"/>
      <c r="D584" s="23"/>
      <c r="H584" s="22"/>
    </row>
    <row r="585">
      <c r="A585" s="20"/>
      <c r="B585" s="20"/>
      <c r="C585" s="21"/>
      <c r="D585" s="23"/>
      <c r="H585" s="22"/>
    </row>
    <row r="586">
      <c r="A586" s="20"/>
      <c r="B586" s="20"/>
      <c r="C586" s="21"/>
      <c r="D586" s="23"/>
      <c r="H586" s="22"/>
    </row>
    <row r="587">
      <c r="A587" s="20"/>
      <c r="B587" s="20"/>
      <c r="C587" s="21"/>
      <c r="D587" s="23"/>
      <c r="H587" s="22"/>
    </row>
    <row r="588">
      <c r="A588" s="20"/>
      <c r="B588" s="20"/>
      <c r="C588" s="21"/>
      <c r="D588" s="23"/>
      <c r="H588" s="22"/>
    </row>
    <row r="589">
      <c r="A589" s="20"/>
      <c r="B589" s="20"/>
      <c r="C589" s="21"/>
      <c r="D589" s="23"/>
      <c r="H589" s="22"/>
    </row>
    <row r="590">
      <c r="A590" s="20"/>
      <c r="B590" s="20"/>
      <c r="C590" s="21"/>
      <c r="D590" s="23"/>
      <c r="H590" s="22"/>
    </row>
    <row r="591">
      <c r="A591" s="20"/>
      <c r="B591" s="20"/>
      <c r="C591" s="21"/>
      <c r="D591" s="23"/>
      <c r="H591" s="22"/>
    </row>
    <row r="592">
      <c r="A592" s="20"/>
      <c r="B592" s="20"/>
      <c r="C592" s="21"/>
      <c r="D592" s="23"/>
      <c r="H592" s="22"/>
    </row>
    <row r="593">
      <c r="A593" s="20"/>
      <c r="B593" s="20"/>
      <c r="C593" s="21"/>
      <c r="D593" s="23"/>
      <c r="H593" s="22"/>
    </row>
    <row r="594">
      <c r="A594" s="20"/>
      <c r="B594" s="20"/>
      <c r="C594" s="21"/>
      <c r="D594" s="23"/>
      <c r="H594" s="22"/>
    </row>
    <row r="595">
      <c r="A595" s="20"/>
      <c r="B595" s="20"/>
      <c r="C595" s="21"/>
      <c r="D595" s="23"/>
      <c r="H595" s="22"/>
    </row>
    <row r="596">
      <c r="A596" s="20"/>
      <c r="B596" s="20"/>
      <c r="C596" s="21"/>
      <c r="D596" s="23"/>
      <c r="H596" s="22"/>
    </row>
    <row r="597">
      <c r="A597" s="20"/>
      <c r="B597" s="20"/>
      <c r="C597" s="21"/>
      <c r="D597" s="23"/>
      <c r="H597" s="22"/>
    </row>
    <row r="598">
      <c r="A598" s="20"/>
      <c r="B598" s="20"/>
      <c r="C598" s="21"/>
      <c r="D598" s="23"/>
      <c r="H598" s="22"/>
    </row>
    <row r="599">
      <c r="A599" s="20"/>
      <c r="B599" s="20"/>
      <c r="C599" s="21"/>
      <c r="D599" s="23"/>
      <c r="H599" s="22"/>
    </row>
    <row r="600">
      <c r="A600" s="20"/>
      <c r="B600" s="20"/>
      <c r="C600" s="21"/>
      <c r="D600" s="23"/>
      <c r="H600" s="22"/>
    </row>
    <row r="601">
      <c r="A601" s="20"/>
      <c r="B601" s="20"/>
      <c r="C601" s="21"/>
      <c r="D601" s="23"/>
      <c r="H601" s="22"/>
    </row>
    <row r="602">
      <c r="A602" s="20"/>
      <c r="B602" s="20"/>
      <c r="C602" s="21"/>
      <c r="D602" s="23"/>
      <c r="H602" s="22"/>
    </row>
    <row r="603">
      <c r="A603" s="20"/>
      <c r="B603" s="20"/>
      <c r="C603" s="21"/>
      <c r="D603" s="23"/>
      <c r="H603" s="22"/>
    </row>
    <row r="604">
      <c r="A604" s="20"/>
      <c r="B604" s="20"/>
      <c r="C604" s="21"/>
      <c r="D604" s="23"/>
      <c r="H604" s="22"/>
    </row>
    <row r="605">
      <c r="A605" s="20"/>
      <c r="B605" s="20"/>
      <c r="C605" s="21"/>
      <c r="D605" s="23"/>
      <c r="H605" s="22"/>
    </row>
    <row r="606">
      <c r="A606" s="20"/>
      <c r="B606" s="20"/>
      <c r="C606" s="21"/>
      <c r="D606" s="23"/>
      <c r="H606" s="22"/>
    </row>
    <row r="607">
      <c r="A607" s="20"/>
      <c r="B607" s="20"/>
      <c r="C607" s="21"/>
      <c r="D607" s="23"/>
      <c r="H607" s="22"/>
    </row>
    <row r="608">
      <c r="A608" s="20"/>
      <c r="B608" s="20"/>
      <c r="C608" s="21"/>
      <c r="D608" s="23"/>
      <c r="H608" s="22"/>
    </row>
    <row r="609">
      <c r="A609" s="20"/>
      <c r="B609" s="20"/>
      <c r="C609" s="21"/>
      <c r="D609" s="23"/>
      <c r="H609" s="22"/>
    </row>
    <row r="610">
      <c r="A610" s="20"/>
      <c r="B610" s="20"/>
      <c r="C610" s="21"/>
      <c r="D610" s="23"/>
      <c r="H610" s="22"/>
    </row>
    <row r="611">
      <c r="A611" s="20"/>
      <c r="B611" s="20"/>
      <c r="C611" s="21"/>
      <c r="D611" s="23"/>
      <c r="H611" s="22"/>
    </row>
    <row r="612">
      <c r="A612" s="20"/>
      <c r="B612" s="20"/>
      <c r="C612" s="21"/>
      <c r="D612" s="23"/>
      <c r="H612" s="22"/>
    </row>
    <row r="613">
      <c r="A613" s="20"/>
      <c r="B613" s="20"/>
      <c r="C613" s="21"/>
      <c r="D613" s="23"/>
      <c r="H613" s="22"/>
    </row>
    <row r="614">
      <c r="A614" s="20"/>
      <c r="B614" s="20"/>
      <c r="C614" s="21"/>
      <c r="D614" s="23"/>
      <c r="H614" s="22"/>
    </row>
    <row r="615">
      <c r="A615" s="20"/>
      <c r="B615" s="20"/>
      <c r="C615" s="21"/>
      <c r="D615" s="23"/>
      <c r="H615" s="22"/>
    </row>
    <row r="616">
      <c r="A616" s="20"/>
      <c r="B616" s="20"/>
      <c r="C616" s="21"/>
      <c r="D616" s="23"/>
      <c r="H616" s="22"/>
    </row>
    <row r="617">
      <c r="A617" s="20"/>
      <c r="B617" s="20"/>
      <c r="C617" s="21"/>
      <c r="D617" s="23"/>
      <c r="H617" s="22"/>
    </row>
    <row r="618">
      <c r="A618" s="20"/>
      <c r="B618" s="20"/>
      <c r="C618" s="21"/>
      <c r="D618" s="23"/>
      <c r="H618" s="22"/>
    </row>
    <row r="619">
      <c r="A619" s="20"/>
      <c r="B619" s="20"/>
      <c r="C619" s="21"/>
      <c r="D619" s="23"/>
      <c r="H619" s="22"/>
    </row>
    <row r="620">
      <c r="A620" s="20"/>
      <c r="B620" s="20"/>
      <c r="C620" s="21"/>
      <c r="D620" s="23"/>
      <c r="H620" s="22"/>
    </row>
    <row r="621">
      <c r="A621" s="20"/>
      <c r="B621" s="20"/>
      <c r="C621" s="21"/>
      <c r="D621" s="23"/>
      <c r="H621" s="22"/>
    </row>
    <row r="622">
      <c r="A622" s="20"/>
      <c r="B622" s="20"/>
      <c r="C622" s="21"/>
      <c r="D622" s="23"/>
      <c r="H622" s="22"/>
    </row>
    <row r="623">
      <c r="A623" s="20"/>
      <c r="B623" s="20"/>
      <c r="C623" s="21"/>
      <c r="D623" s="23"/>
      <c r="H623" s="22"/>
    </row>
    <row r="624">
      <c r="A624" s="20"/>
      <c r="B624" s="20"/>
      <c r="C624" s="21"/>
      <c r="D624" s="23"/>
      <c r="H624" s="22"/>
    </row>
    <row r="625">
      <c r="A625" s="20"/>
      <c r="B625" s="20"/>
      <c r="C625" s="21"/>
      <c r="D625" s="23"/>
      <c r="H625" s="22"/>
    </row>
    <row r="626">
      <c r="A626" s="20"/>
      <c r="B626" s="20"/>
      <c r="C626" s="21"/>
      <c r="D626" s="23"/>
      <c r="H626" s="22"/>
    </row>
    <row r="627">
      <c r="A627" s="20"/>
      <c r="B627" s="20"/>
      <c r="C627" s="21"/>
      <c r="D627" s="23"/>
      <c r="H627" s="22"/>
    </row>
    <row r="628">
      <c r="A628" s="20"/>
      <c r="B628" s="20"/>
      <c r="C628" s="21"/>
      <c r="D628" s="23"/>
      <c r="H628" s="22"/>
    </row>
    <row r="629">
      <c r="A629" s="20"/>
      <c r="B629" s="20"/>
      <c r="C629" s="21"/>
      <c r="D629" s="23"/>
      <c r="H629" s="22"/>
    </row>
    <row r="630">
      <c r="A630" s="20"/>
      <c r="B630" s="20"/>
      <c r="C630" s="21"/>
      <c r="D630" s="23"/>
      <c r="H630" s="22"/>
    </row>
    <row r="631">
      <c r="A631" s="20"/>
      <c r="B631" s="20"/>
      <c r="C631" s="21"/>
      <c r="D631" s="23"/>
      <c r="H631" s="22"/>
    </row>
    <row r="632">
      <c r="A632" s="20"/>
      <c r="B632" s="20"/>
      <c r="C632" s="21"/>
      <c r="D632" s="23"/>
      <c r="H632" s="22"/>
    </row>
    <row r="633">
      <c r="A633" s="20"/>
      <c r="B633" s="20"/>
      <c r="C633" s="21"/>
      <c r="D633" s="23"/>
      <c r="H633" s="22"/>
    </row>
    <row r="634">
      <c r="A634" s="20"/>
      <c r="B634" s="20"/>
      <c r="C634" s="21"/>
      <c r="D634" s="23"/>
      <c r="H634" s="22"/>
    </row>
    <row r="635">
      <c r="A635" s="20"/>
      <c r="B635" s="20"/>
      <c r="C635" s="21"/>
      <c r="D635" s="23"/>
      <c r="H635" s="22"/>
    </row>
    <row r="636">
      <c r="A636" s="20"/>
      <c r="B636" s="20"/>
      <c r="C636" s="21"/>
      <c r="D636" s="23"/>
      <c r="H636" s="22"/>
    </row>
    <row r="637">
      <c r="A637" s="20"/>
      <c r="B637" s="20"/>
      <c r="C637" s="21"/>
      <c r="D637" s="23"/>
      <c r="H637" s="22"/>
    </row>
    <row r="638">
      <c r="A638" s="20"/>
      <c r="B638" s="20"/>
      <c r="C638" s="21"/>
      <c r="D638" s="23"/>
      <c r="H638" s="22"/>
    </row>
    <row r="639">
      <c r="A639" s="20"/>
      <c r="B639" s="20"/>
      <c r="C639" s="21"/>
      <c r="D639" s="23"/>
      <c r="H639" s="22"/>
    </row>
    <row r="640">
      <c r="A640" s="20"/>
      <c r="B640" s="20"/>
      <c r="C640" s="21"/>
      <c r="D640" s="23"/>
      <c r="H640" s="22"/>
    </row>
    <row r="641">
      <c r="A641" s="20"/>
      <c r="B641" s="20"/>
      <c r="C641" s="21"/>
      <c r="D641" s="23"/>
      <c r="H641" s="22"/>
    </row>
    <row r="642">
      <c r="A642" s="20"/>
      <c r="B642" s="20"/>
      <c r="C642" s="21"/>
      <c r="D642" s="23"/>
      <c r="H642" s="22"/>
    </row>
    <row r="643">
      <c r="A643" s="20"/>
      <c r="B643" s="20"/>
      <c r="C643" s="21"/>
      <c r="D643" s="23"/>
      <c r="H643" s="22"/>
    </row>
    <row r="644">
      <c r="A644" s="20"/>
      <c r="B644" s="20"/>
      <c r="C644" s="21"/>
      <c r="D644" s="23"/>
      <c r="H644" s="22"/>
    </row>
    <row r="645">
      <c r="A645" s="20"/>
      <c r="B645" s="20"/>
      <c r="C645" s="21"/>
      <c r="D645" s="23"/>
      <c r="H645" s="22"/>
    </row>
    <row r="646">
      <c r="A646" s="20"/>
      <c r="B646" s="20"/>
      <c r="C646" s="21"/>
      <c r="D646" s="23"/>
      <c r="H646" s="22"/>
    </row>
    <row r="647">
      <c r="A647" s="20"/>
      <c r="B647" s="20"/>
      <c r="C647" s="21"/>
      <c r="D647" s="23"/>
      <c r="H647" s="22"/>
    </row>
    <row r="648">
      <c r="A648" s="20"/>
      <c r="B648" s="20"/>
      <c r="C648" s="21"/>
      <c r="D648" s="23"/>
      <c r="H648" s="22"/>
    </row>
    <row r="649">
      <c r="A649" s="20"/>
      <c r="B649" s="20"/>
      <c r="C649" s="21"/>
      <c r="D649" s="23"/>
      <c r="H649" s="22"/>
    </row>
    <row r="650">
      <c r="A650" s="20"/>
      <c r="B650" s="20"/>
      <c r="C650" s="21"/>
      <c r="D650" s="23"/>
      <c r="H650" s="22"/>
    </row>
    <row r="651">
      <c r="A651" s="20"/>
      <c r="B651" s="20"/>
      <c r="C651" s="21"/>
      <c r="D651" s="23"/>
      <c r="H651" s="22"/>
    </row>
    <row r="652">
      <c r="A652" s="20"/>
      <c r="B652" s="20"/>
      <c r="C652" s="21"/>
      <c r="D652" s="23"/>
      <c r="H652" s="22"/>
    </row>
    <row r="653">
      <c r="A653" s="20"/>
      <c r="B653" s="20"/>
      <c r="C653" s="21"/>
      <c r="D653" s="23"/>
      <c r="H653" s="22"/>
    </row>
    <row r="654">
      <c r="A654" s="20"/>
      <c r="B654" s="20"/>
      <c r="C654" s="21"/>
      <c r="D654" s="23"/>
      <c r="H654" s="22"/>
    </row>
    <row r="655">
      <c r="A655" s="20"/>
      <c r="B655" s="20"/>
      <c r="C655" s="21"/>
      <c r="D655" s="23"/>
      <c r="H655" s="22"/>
    </row>
    <row r="656">
      <c r="A656" s="20"/>
      <c r="B656" s="20"/>
      <c r="C656" s="21"/>
      <c r="D656" s="23"/>
      <c r="H656" s="22"/>
    </row>
    <row r="657">
      <c r="A657" s="20"/>
      <c r="B657" s="20"/>
      <c r="C657" s="21"/>
      <c r="D657" s="23"/>
      <c r="H657" s="22"/>
    </row>
    <row r="658">
      <c r="A658" s="20"/>
      <c r="B658" s="20"/>
      <c r="C658" s="21"/>
      <c r="D658" s="23"/>
      <c r="H658" s="22"/>
    </row>
    <row r="659">
      <c r="A659" s="20"/>
      <c r="B659" s="20"/>
      <c r="C659" s="21"/>
      <c r="D659" s="23"/>
      <c r="H659" s="22"/>
    </row>
    <row r="660">
      <c r="A660" s="20"/>
      <c r="B660" s="20"/>
      <c r="C660" s="21"/>
      <c r="D660" s="23"/>
      <c r="H660" s="22"/>
    </row>
    <row r="661">
      <c r="A661" s="20"/>
      <c r="B661" s="20"/>
      <c r="C661" s="21"/>
      <c r="D661" s="23"/>
      <c r="H661" s="22"/>
    </row>
    <row r="662">
      <c r="A662" s="20"/>
      <c r="B662" s="20"/>
      <c r="C662" s="21"/>
      <c r="D662" s="23"/>
      <c r="H662" s="22"/>
    </row>
    <row r="663">
      <c r="A663" s="20"/>
      <c r="B663" s="20"/>
      <c r="C663" s="21"/>
      <c r="D663" s="23"/>
      <c r="H663" s="22"/>
    </row>
    <row r="664">
      <c r="A664" s="20"/>
      <c r="B664" s="20"/>
      <c r="C664" s="21"/>
      <c r="D664" s="23"/>
      <c r="H664" s="22"/>
    </row>
    <row r="665">
      <c r="A665" s="20"/>
      <c r="B665" s="20"/>
      <c r="C665" s="21"/>
      <c r="D665" s="23"/>
      <c r="H665" s="22"/>
    </row>
    <row r="666">
      <c r="A666" s="20"/>
      <c r="B666" s="20"/>
      <c r="C666" s="21"/>
      <c r="D666" s="23"/>
      <c r="H666" s="22"/>
    </row>
    <row r="667">
      <c r="A667" s="20"/>
      <c r="B667" s="20"/>
      <c r="C667" s="21"/>
      <c r="D667" s="23"/>
      <c r="H667" s="22"/>
    </row>
    <row r="668">
      <c r="A668" s="20"/>
      <c r="B668" s="20"/>
      <c r="C668" s="21"/>
      <c r="D668" s="23"/>
      <c r="H668" s="22"/>
    </row>
    <row r="669">
      <c r="A669" s="20"/>
      <c r="B669" s="20"/>
      <c r="C669" s="21"/>
      <c r="D669" s="23"/>
      <c r="H669" s="22"/>
    </row>
    <row r="670">
      <c r="A670" s="20"/>
      <c r="B670" s="20"/>
      <c r="C670" s="21"/>
      <c r="D670" s="23"/>
      <c r="H670" s="22"/>
    </row>
    <row r="671">
      <c r="A671" s="20"/>
      <c r="B671" s="20"/>
      <c r="C671" s="21"/>
      <c r="D671" s="23"/>
      <c r="H671" s="22"/>
    </row>
    <row r="672">
      <c r="A672" s="20"/>
      <c r="B672" s="20"/>
      <c r="C672" s="21"/>
      <c r="D672" s="23"/>
      <c r="H672" s="22"/>
    </row>
    <row r="673">
      <c r="A673" s="20"/>
      <c r="B673" s="20"/>
      <c r="C673" s="21"/>
      <c r="D673" s="23"/>
      <c r="H673" s="22"/>
    </row>
    <row r="674">
      <c r="A674" s="20"/>
      <c r="B674" s="20"/>
      <c r="C674" s="21"/>
      <c r="D674" s="23"/>
      <c r="H674" s="22"/>
    </row>
    <row r="675">
      <c r="A675" s="20"/>
      <c r="B675" s="20"/>
      <c r="C675" s="21"/>
      <c r="D675" s="23"/>
      <c r="H675" s="22"/>
    </row>
    <row r="676">
      <c r="A676" s="20"/>
      <c r="B676" s="20"/>
      <c r="C676" s="21"/>
      <c r="D676" s="23"/>
      <c r="H676" s="22"/>
    </row>
    <row r="677">
      <c r="A677" s="20"/>
      <c r="B677" s="20"/>
      <c r="C677" s="21"/>
      <c r="D677" s="23"/>
      <c r="H677" s="22"/>
    </row>
    <row r="678">
      <c r="A678" s="20"/>
      <c r="B678" s="20"/>
      <c r="C678" s="21"/>
      <c r="D678" s="23"/>
      <c r="H678" s="22"/>
    </row>
    <row r="679">
      <c r="A679" s="20"/>
      <c r="B679" s="20"/>
      <c r="C679" s="21"/>
      <c r="D679" s="23"/>
      <c r="H679" s="22"/>
    </row>
    <row r="680">
      <c r="A680" s="20"/>
      <c r="B680" s="20"/>
      <c r="C680" s="21"/>
      <c r="D680" s="23"/>
      <c r="H680" s="22"/>
    </row>
    <row r="681">
      <c r="A681" s="20"/>
      <c r="B681" s="20"/>
      <c r="C681" s="21"/>
      <c r="D681" s="23"/>
      <c r="H681" s="22"/>
    </row>
    <row r="682">
      <c r="A682" s="20"/>
      <c r="B682" s="20"/>
      <c r="C682" s="21"/>
      <c r="D682" s="23"/>
      <c r="H682" s="22"/>
    </row>
    <row r="683">
      <c r="A683" s="20"/>
      <c r="B683" s="20"/>
      <c r="C683" s="21"/>
      <c r="D683" s="23"/>
      <c r="H683" s="22"/>
    </row>
    <row r="684">
      <c r="A684" s="20"/>
      <c r="B684" s="20"/>
      <c r="C684" s="21"/>
      <c r="D684" s="23"/>
      <c r="H684" s="22"/>
    </row>
    <row r="685">
      <c r="A685" s="20"/>
      <c r="B685" s="20"/>
      <c r="C685" s="21"/>
      <c r="D685" s="23"/>
      <c r="H685" s="22"/>
    </row>
    <row r="686">
      <c r="A686" s="20"/>
      <c r="B686" s="20"/>
      <c r="C686" s="21"/>
      <c r="D686" s="23"/>
      <c r="H686" s="22"/>
    </row>
    <row r="687">
      <c r="A687" s="20"/>
      <c r="B687" s="20"/>
      <c r="C687" s="21"/>
      <c r="D687" s="23"/>
      <c r="H687" s="22"/>
    </row>
    <row r="688">
      <c r="A688" s="20"/>
      <c r="B688" s="20"/>
      <c r="C688" s="21"/>
      <c r="D688" s="23"/>
      <c r="H688" s="22"/>
    </row>
    <row r="689">
      <c r="A689" s="20"/>
      <c r="B689" s="20"/>
      <c r="C689" s="21"/>
      <c r="D689" s="23"/>
      <c r="H689" s="22"/>
    </row>
    <row r="690">
      <c r="A690" s="20"/>
      <c r="B690" s="20"/>
      <c r="C690" s="21"/>
      <c r="D690" s="23"/>
      <c r="H690" s="22"/>
    </row>
    <row r="691">
      <c r="A691" s="20"/>
      <c r="B691" s="20"/>
      <c r="C691" s="21"/>
      <c r="D691" s="23"/>
      <c r="H691" s="22"/>
    </row>
    <row r="692">
      <c r="A692" s="20"/>
      <c r="B692" s="20"/>
      <c r="C692" s="21"/>
      <c r="D692" s="23"/>
      <c r="H692" s="22"/>
    </row>
    <row r="693">
      <c r="A693" s="20"/>
      <c r="B693" s="20"/>
      <c r="C693" s="21"/>
      <c r="D693" s="23"/>
      <c r="H693" s="22"/>
    </row>
    <row r="694">
      <c r="A694" s="20"/>
      <c r="B694" s="20"/>
      <c r="C694" s="21"/>
      <c r="D694" s="23"/>
      <c r="H694" s="22"/>
    </row>
    <row r="695">
      <c r="A695" s="20"/>
      <c r="B695" s="20"/>
      <c r="C695" s="21"/>
      <c r="D695" s="23"/>
      <c r="H695" s="22"/>
    </row>
    <row r="696">
      <c r="A696" s="20"/>
      <c r="B696" s="20"/>
      <c r="C696" s="21"/>
      <c r="D696" s="23"/>
      <c r="H696" s="22"/>
    </row>
    <row r="697">
      <c r="A697" s="20"/>
      <c r="B697" s="20"/>
      <c r="C697" s="21"/>
      <c r="D697" s="23"/>
      <c r="H697" s="22"/>
    </row>
    <row r="698">
      <c r="A698" s="20"/>
      <c r="B698" s="20"/>
      <c r="C698" s="21"/>
      <c r="D698" s="23"/>
      <c r="H698" s="22"/>
    </row>
    <row r="699">
      <c r="A699" s="20"/>
      <c r="B699" s="20"/>
      <c r="C699" s="21"/>
      <c r="D699" s="23"/>
      <c r="H699" s="22"/>
    </row>
    <row r="700">
      <c r="A700" s="20"/>
      <c r="B700" s="20"/>
      <c r="C700" s="21"/>
      <c r="D700" s="23"/>
      <c r="H700" s="22"/>
    </row>
    <row r="701">
      <c r="A701" s="20"/>
      <c r="B701" s="20"/>
      <c r="C701" s="21"/>
      <c r="D701" s="23"/>
      <c r="H701" s="22"/>
    </row>
    <row r="702">
      <c r="A702" s="20"/>
      <c r="B702" s="20"/>
      <c r="C702" s="21"/>
      <c r="D702" s="23"/>
      <c r="H702" s="22"/>
    </row>
    <row r="703">
      <c r="A703" s="20"/>
      <c r="B703" s="20"/>
      <c r="C703" s="21"/>
      <c r="D703" s="23"/>
      <c r="H703" s="22"/>
    </row>
    <row r="704">
      <c r="A704" s="20"/>
      <c r="B704" s="20"/>
      <c r="C704" s="21"/>
      <c r="D704" s="23"/>
      <c r="H704" s="22"/>
    </row>
    <row r="705">
      <c r="A705" s="20"/>
      <c r="B705" s="20"/>
      <c r="C705" s="21"/>
      <c r="D705" s="23"/>
      <c r="H705" s="22"/>
    </row>
    <row r="706">
      <c r="A706" s="20"/>
      <c r="B706" s="20"/>
      <c r="C706" s="21"/>
      <c r="D706" s="23"/>
      <c r="H706" s="22"/>
    </row>
    <row r="707">
      <c r="A707" s="20"/>
      <c r="B707" s="20"/>
      <c r="C707" s="21"/>
      <c r="D707" s="23"/>
      <c r="H707" s="22"/>
    </row>
    <row r="708">
      <c r="A708" s="20"/>
      <c r="B708" s="20"/>
      <c r="C708" s="21"/>
      <c r="D708" s="23"/>
      <c r="H708" s="22"/>
    </row>
    <row r="709">
      <c r="A709" s="20"/>
      <c r="B709" s="20"/>
      <c r="C709" s="21"/>
      <c r="D709" s="23"/>
      <c r="H709" s="22"/>
    </row>
    <row r="710">
      <c r="A710" s="20"/>
      <c r="B710" s="20"/>
      <c r="C710" s="21"/>
      <c r="D710" s="23"/>
      <c r="H710" s="22"/>
    </row>
    <row r="711">
      <c r="A711" s="20"/>
      <c r="B711" s="20"/>
      <c r="C711" s="21"/>
      <c r="D711" s="23"/>
      <c r="H711" s="22"/>
    </row>
    <row r="712">
      <c r="A712" s="20"/>
      <c r="B712" s="20"/>
      <c r="C712" s="21"/>
      <c r="D712" s="23"/>
      <c r="H712" s="22"/>
    </row>
    <row r="713">
      <c r="A713" s="20"/>
      <c r="B713" s="20"/>
      <c r="C713" s="21"/>
      <c r="D713" s="23"/>
      <c r="H713" s="22"/>
    </row>
    <row r="714">
      <c r="A714" s="20"/>
      <c r="B714" s="20"/>
      <c r="C714" s="21"/>
      <c r="D714" s="23"/>
      <c r="H714" s="22"/>
    </row>
    <row r="715">
      <c r="A715" s="20"/>
      <c r="B715" s="20"/>
      <c r="C715" s="21"/>
      <c r="D715" s="23"/>
      <c r="H715" s="22"/>
    </row>
    <row r="716">
      <c r="A716" s="20"/>
      <c r="B716" s="20"/>
      <c r="C716" s="21"/>
      <c r="D716" s="23"/>
      <c r="H716" s="22"/>
    </row>
    <row r="717">
      <c r="A717" s="20"/>
      <c r="B717" s="20"/>
      <c r="C717" s="21"/>
      <c r="D717" s="23"/>
      <c r="H717" s="22"/>
    </row>
    <row r="718">
      <c r="A718" s="20"/>
      <c r="B718" s="20"/>
      <c r="C718" s="21"/>
      <c r="D718" s="23"/>
      <c r="H718" s="22"/>
    </row>
    <row r="719">
      <c r="A719" s="20"/>
      <c r="B719" s="20"/>
      <c r="C719" s="21"/>
      <c r="D719" s="23"/>
      <c r="H719" s="22"/>
    </row>
    <row r="720">
      <c r="A720" s="20"/>
      <c r="B720" s="20"/>
      <c r="C720" s="21"/>
      <c r="D720" s="23"/>
      <c r="H720" s="22"/>
    </row>
    <row r="721">
      <c r="A721" s="20"/>
      <c r="B721" s="20"/>
      <c r="C721" s="21"/>
      <c r="D721" s="23"/>
      <c r="H721" s="22"/>
    </row>
    <row r="722">
      <c r="A722" s="20"/>
      <c r="B722" s="20"/>
      <c r="C722" s="21"/>
      <c r="D722" s="23"/>
      <c r="H722" s="22"/>
    </row>
    <row r="723">
      <c r="A723" s="20"/>
      <c r="B723" s="20"/>
      <c r="C723" s="21"/>
      <c r="D723" s="23"/>
      <c r="H723" s="22"/>
    </row>
    <row r="724">
      <c r="A724" s="20"/>
      <c r="B724" s="20"/>
      <c r="C724" s="21"/>
      <c r="D724" s="23"/>
      <c r="H724" s="22"/>
    </row>
    <row r="725">
      <c r="A725" s="20"/>
      <c r="B725" s="20"/>
      <c r="C725" s="21"/>
      <c r="D725" s="23"/>
      <c r="H725" s="22"/>
    </row>
    <row r="726">
      <c r="A726" s="20"/>
      <c r="B726" s="20"/>
      <c r="C726" s="21"/>
      <c r="D726" s="23"/>
      <c r="H726" s="22"/>
    </row>
    <row r="727">
      <c r="A727" s="20"/>
      <c r="B727" s="20"/>
      <c r="C727" s="21"/>
      <c r="D727" s="23"/>
      <c r="H727" s="22"/>
    </row>
    <row r="728">
      <c r="A728" s="20"/>
      <c r="B728" s="20"/>
      <c r="C728" s="21"/>
      <c r="D728" s="23"/>
      <c r="H728" s="22"/>
    </row>
    <row r="729">
      <c r="A729" s="20"/>
      <c r="B729" s="20"/>
      <c r="C729" s="21"/>
      <c r="D729" s="23"/>
      <c r="H729" s="22"/>
    </row>
    <row r="730">
      <c r="A730" s="20"/>
      <c r="B730" s="20"/>
      <c r="C730" s="21"/>
      <c r="D730" s="23"/>
      <c r="H730" s="22"/>
    </row>
    <row r="731">
      <c r="A731" s="20"/>
      <c r="B731" s="20"/>
      <c r="C731" s="21"/>
      <c r="D731" s="23"/>
      <c r="H731" s="22"/>
    </row>
    <row r="732">
      <c r="A732" s="20"/>
      <c r="B732" s="20"/>
      <c r="C732" s="21"/>
      <c r="D732" s="23"/>
      <c r="H732" s="22"/>
    </row>
    <row r="733">
      <c r="A733" s="20"/>
      <c r="B733" s="20"/>
      <c r="C733" s="21"/>
      <c r="D733" s="23"/>
      <c r="H733" s="22"/>
    </row>
    <row r="734">
      <c r="A734" s="20"/>
      <c r="B734" s="20"/>
      <c r="C734" s="21"/>
      <c r="D734" s="23"/>
      <c r="H734" s="22"/>
    </row>
    <row r="735">
      <c r="A735" s="20"/>
      <c r="B735" s="20"/>
      <c r="C735" s="21"/>
      <c r="D735" s="23"/>
      <c r="H735" s="22"/>
    </row>
    <row r="736">
      <c r="A736" s="20"/>
      <c r="B736" s="20"/>
      <c r="C736" s="21"/>
      <c r="D736" s="23"/>
      <c r="H736" s="22"/>
    </row>
    <row r="737">
      <c r="A737" s="20"/>
      <c r="B737" s="20"/>
      <c r="C737" s="21"/>
      <c r="D737" s="23"/>
      <c r="H737" s="22"/>
    </row>
    <row r="738">
      <c r="A738" s="20"/>
      <c r="B738" s="20"/>
      <c r="C738" s="21"/>
      <c r="D738" s="23"/>
      <c r="H738" s="22"/>
    </row>
    <row r="739">
      <c r="A739" s="20"/>
      <c r="B739" s="20"/>
      <c r="C739" s="21"/>
      <c r="D739" s="23"/>
      <c r="H739" s="22"/>
    </row>
    <row r="740">
      <c r="A740" s="20"/>
      <c r="B740" s="20"/>
      <c r="C740" s="21"/>
      <c r="D740" s="23"/>
      <c r="H740" s="22"/>
    </row>
    <row r="741">
      <c r="A741" s="20"/>
      <c r="B741" s="20"/>
      <c r="C741" s="21"/>
      <c r="D741" s="23"/>
      <c r="H741" s="22"/>
    </row>
    <row r="742">
      <c r="A742" s="20"/>
      <c r="B742" s="20"/>
      <c r="C742" s="21"/>
      <c r="D742" s="23"/>
      <c r="H742" s="22"/>
    </row>
    <row r="743">
      <c r="A743" s="20"/>
      <c r="B743" s="20"/>
      <c r="C743" s="21"/>
      <c r="D743" s="23"/>
      <c r="H743" s="22"/>
    </row>
    <row r="744">
      <c r="A744" s="20"/>
      <c r="B744" s="20"/>
      <c r="C744" s="21"/>
      <c r="D744" s="23"/>
      <c r="H744" s="22"/>
    </row>
    <row r="745">
      <c r="A745" s="20"/>
      <c r="B745" s="20"/>
      <c r="C745" s="21"/>
      <c r="D745" s="23"/>
      <c r="H745" s="22"/>
    </row>
    <row r="746">
      <c r="A746" s="20"/>
      <c r="B746" s="20"/>
      <c r="C746" s="21"/>
      <c r="D746" s="23"/>
      <c r="H746" s="22"/>
    </row>
    <row r="747">
      <c r="A747" s="20"/>
      <c r="B747" s="20"/>
      <c r="C747" s="21"/>
      <c r="D747" s="23"/>
      <c r="H747" s="22"/>
    </row>
    <row r="748">
      <c r="A748" s="20"/>
      <c r="B748" s="20"/>
      <c r="C748" s="21"/>
      <c r="D748" s="23"/>
      <c r="H748" s="22"/>
    </row>
    <row r="749">
      <c r="A749" s="20"/>
      <c r="B749" s="20"/>
      <c r="C749" s="21"/>
      <c r="D749" s="23"/>
      <c r="H749" s="22"/>
    </row>
    <row r="750">
      <c r="A750" s="20"/>
      <c r="B750" s="20"/>
      <c r="C750" s="21"/>
      <c r="D750" s="23"/>
      <c r="H750" s="22"/>
    </row>
    <row r="751">
      <c r="A751" s="20"/>
      <c r="B751" s="20"/>
      <c r="C751" s="21"/>
      <c r="D751" s="23"/>
      <c r="H751" s="22"/>
    </row>
    <row r="752">
      <c r="A752" s="20"/>
      <c r="B752" s="20"/>
      <c r="C752" s="21"/>
      <c r="D752" s="23"/>
      <c r="H752" s="22"/>
    </row>
    <row r="753">
      <c r="A753" s="20"/>
      <c r="B753" s="20"/>
      <c r="C753" s="21"/>
      <c r="D753" s="23"/>
      <c r="H753" s="22"/>
    </row>
    <row r="754">
      <c r="A754" s="20"/>
      <c r="B754" s="20"/>
      <c r="C754" s="21"/>
      <c r="D754" s="23"/>
      <c r="H754" s="22"/>
    </row>
    <row r="755">
      <c r="A755" s="20"/>
      <c r="B755" s="20"/>
      <c r="C755" s="21"/>
      <c r="D755" s="23"/>
      <c r="H755" s="22"/>
    </row>
    <row r="756">
      <c r="A756" s="20"/>
      <c r="B756" s="20"/>
      <c r="C756" s="21"/>
      <c r="D756" s="23"/>
      <c r="H756" s="22"/>
    </row>
    <row r="757">
      <c r="A757" s="20"/>
      <c r="B757" s="20"/>
      <c r="C757" s="21"/>
      <c r="D757" s="23"/>
      <c r="H757" s="22"/>
    </row>
    <row r="758">
      <c r="A758" s="20"/>
      <c r="B758" s="20"/>
      <c r="C758" s="21"/>
      <c r="D758" s="23"/>
      <c r="H758" s="22"/>
    </row>
    <row r="759">
      <c r="A759" s="20"/>
      <c r="B759" s="20"/>
      <c r="C759" s="21"/>
      <c r="D759" s="23"/>
      <c r="H759" s="22"/>
    </row>
    <row r="760">
      <c r="A760" s="20"/>
      <c r="B760" s="20"/>
      <c r="C760" s="21"/>
      <c r="D760" s="23"/>
      <c r="H760" s="22"/>
    </row>
    <row r="761">
      <c r="A761" s="20"/>
      <c r="B761" s="20"/>
      <c r="C761" s="21"/>
      <c r="D761" s="23"/>
      <c r="H761" s="22"/>
    </row>
    <row r="762">
      <c r="A762" s="20"/>
      <c r="B762" s="20"/>
      <c r="C762" s="21"/>
      <c r="D762" s="23"/>
      <c r="H762" s="22"/>
    </row>
    <row r="763">
      <c r="A763" s="20"/>
      <c r="B763" s="20"/>
      <c r="C763" s="21"/>
      <c r="D763" s="23"/>
      <c r="H763" s="22"/>
    </row>
    <row r="764">
      <c r="A764" s="20"/>
      <c r="B764" s="20"/>
      <c r="C764" s="21"/>
      <c r="D764" s="23"/>
      <c r="H764" s="22"/>
    </row>
    <row r="765">
      <c r="A765" s="20"/>
      <c r="B765" s="20"/>
      <c r="C765" s="21"/>
      <c r="D765" s="23"/>
      <c r="H765" s="22"/>
    </row>
    <row r="766">
      <c r="A766" s="20"/>
      <c r="B766" s="20"/>
      <c r="C766" s="21"/>
      <c r="D766" s="23"/>
      <c r="H766" s="22"/>
    </row>
    <row r="767">
      <c r="A767" s="20"/>
      <c r="B767" s="20"/>
      <c r="C767" s="21"/>
      <c r="D767" s="23"/>
      <c r="H767" s="22"/>
    </row>
    <row r="768">
      <c r="A768" s="20"/>
      <c r="B768" s="20"/>
      <c r="C768" s="21"/>
      <c r="D768" s="23"/>
      <c r="H768" s="22"/>
    </row>
    <row r="769">
      <c r="A769" s="20"/>
      <c r="B769" s="20"/>
      <c r="C769" s="21"/>
      <c r="D769" s="23"/>
      <c r="H769" s="22"/>
    </row>
    <row r="770">
      <c r="A770" s="20"/>
      <c r="B770" s="20"/>
      <c r="C770" s="21"/>
      <c r="D770" s="23"/>
      <c r="H770" s="22"/>
    </row>
    <row r="771">
      <c r="A771" s="20"/>
      <c r="B771" s="20"/>
      <c r="C771" s="21"/>
      <c r="D771" s="23"/>
      <c r="H771" s="22"/>
    </row>
    <row r="772">
      <c r="A772" s="20"/>
      <c r="B772" s="20"/>
      <c r="C772" s="21"/>
      <c r="D772" s="23"/>
      <c r="H772" s="22"/>
    </row>
    <row r="773">
      <c r="A773" s="20"/>
      <c r="B773" s="20"/>
      <c r="C773" s="21"/>
      <c r="D773" s="23"/>
      <c r="H773" s="22"/>
    </row>
    <row r="774">
      <c r="A774" s="20"/>
      <c r="B774" s="20"/>
      <c r="C774" s="21"/>
      <c r="D774" s="23"/>
      <c r="H774" s="22"/>
    </row>
    <row r="775">
      <c r="A775" s="20"/>
      <c r="B775" s="20"/>
      <c r="C775" s="21"/>
      <c r="D775" s="23"/>
      <c r="H775" s="22"/>
    </row>
    <row r="776">
      <c r="A776" s="20"/>
      <c r="B776" s="20"/>
      <c r="C776" s="21"/>
      <c r="D776" s="23"/>
      <c r="H776" s="22"/>
    </row>
    <row r="777">
      <c r="A777" s="20"/>
      <c r="B777" s="20"/>
      <c r="C777" s="21"/>
      <c r="D777" s="23"/>
      <c r="H777" s="22"/>
    </row>
    <row r="778">
      <c r="A778" s="20"/>
      <c r="B778" s="20"/>
      <c r="C778" s="21"/>
      <c r="D778" s="23"/>
      <c r="H778" s="22"/>
    </row>
    <row r="779">
      <c r="A779" s="20"/>
      <c r="B779" s="20"/>
      <c r="C779" s="21"/>
      <c r="D779" s="23"/>
      <c r="H779" s="22"/>
    </row>
    <row r="780">
      <c r="A780" s="20"/>
      <c r="B780" s="20"/>
      <c r="C780" s="21"/>
      <c r="D780" s="23"/>
      <c r="H780" s="22"/>
    </row>
    <row r="781">
      <c r="A781" s="20"/>
      <c r="B781" s="20"/>
      <c r="C781" s="21"/>
      <c r="D781" s="23"/>
      <c r="H781" s="22"/>
    </row>
    <row r="782">
      <c r="A782" s="20"/>
      <c r="B782" s="20"/>
      <c r="C782" s="21"/>
      <c r="D782" s="23"/>
      <c r="H782" s="22"/>
    </row>
    <row r="783">
      <c r="A783" s="20"/>
      <c r="B783" s="20"/>
      <c r="C783" s="21"/>
      <c r="D783" s="23"/>
      <c r="H783" s="22"/>
    </row>
    <row r="784">
      <c r="A784" s="20"/>
      <c r="B784" s="20"/>
      <c r="C784" s="21"/>
      <c r="D784" s="23"/>
      <c r="H784" s="22"/>
    </row>
    <row r="785">
      <c r="A785" s="20"/>
      <c r="B785" s="20"/>
      <c r="C785" s="21"/>
      <c r="D785" s="23"/>
      <c r="H785" s="22"/>
    </row>
    <row r="786">
      <c r="A786" s="20"/>
      <c r="B786" s="20"/>
      <c r="C786" s="21"/>
      <c r="D786" s="23"/>
      <c r="H786" s="22"/>
    </row>
    <row r="787">
      <c r="A787" s="20"/>
      <c r="B787" s="20"/>
      <c r="C787" s="21"/>
      <c r="D787" s="23"/>
      <c r="H787" s="22"/>
    </row>
    <row r="788">
      <c r="A788" s="20"/>
      <c r="B788" s="20"/>
      <c r="C788" s="21"/>
      <c r="D788" s="23"/>
      <c r="H788" s="22"/>
    </row>
    <row r="789">
      <c r="A789" s="20"/>
      <c r="B789" s="20"/>
      <c r="C789" s="21"/>
      <c r="D789" s="23"/>
      <c r="H789" s="22"/>
    </row>
    <row r="790">
      <c r="A790" s="20"/>
      <c r="B790" s="20"/>
      <c r="C790" s="21"/>
      <c r="D790" s="23"/>
      <c r="H790" s="22"/>
    </row>
    <row r="791">
      <c r="A791" s="20"/>
      <c r="B791" s="20"/>
      <c r="C791" s="21"/>
      <c r="D791" s="23"/>
      <c r="H791" s="22"/>
    </row>
    <row r="792">
      <c r="A792" s="20"/>
      <c r="B792" s="20"/>
      <c r="C792" s="21"/>
      <c r="D792" s="23"/>
      <c r="H792" s="22"/>
    </row>
    <row r="793">
      <c r="A793" s="20"/>
      <c r="B793" s="20"/>
      <c r="C793" s="21"/>
      <c r="D793" s="23"/>
      <c r="H793" s="22"/>
    </row>
    <row r="794">
      <c r="A794" s="20"/>
      <c r="B794" s="20"/>
      <c r="C794" s="21"/>
      <c r="D794" s="23"/>
      <c r="H794" s="22"/>
    </row>
    <row r="795">
      <c r="A795" s="20"/>
      <c r="B795" s="20"/>
      <c r="C795" s="21"/>
      <c r="D795" s="23"/>
      <c r="H795" s="22"/>
    </row>
    <row r="796">
      <c r="A796" s="20"/>
      <c r="B796" s="20"/>
      <c r="C796" s="21"/>
      <c r="D796" s="23"/>
      <c r="H796" s="22"/>
    </row>
    <row r="797">
      <c r="A797" s="20"/>
      <c r="B797" s="20"/>
      <c r="C797" s="21"/>
      <c r="D797" s="23"/>
      <c r="H797" s="22"/>
    </row>
    <row r="798">
      <c r="A798" s="20"/>
      <c r="B798" s="20"/>
      <c r="C798" s="21"/>
      <c r="D798" s="23"/>
      <c r="H798" s="22"/>
    </row>
    <row r="799">
      <c r="A799" s="20"/>
      <c r="B799" s="20"/>
      <c r="C799" s="21"/>
      <c r="D799" s="23"/>
      <c r="H799" s="22"/>
    </row>
    <row r="800">
      <c r="A800" s="20"/>
      <c r="B800" s="20"/>
      <c r="C800" s="21"/>
      <c r="D800" s="23"/>
      <c r="H800" s="22"/>
    </row>
    <row r="801">
      <c r="A801" s="20"/>
      <c r="B801" s="20"/>
      <c r="C801" s="21"/>
      <c r="D801" s="23"/>
      <c r="H801" s="22"/>
    </row>
    <row r="802">
      <c r="A802" s="20"/>
      <c r="B802" s="20"/>
      <c r="C802" s="21"/>
      <c r="D802" s="23"/>
      <c r="H802" s="22"/>
    </row>
    <row r="803">
      <c r="A803" s="20"/>
      <c r="B803" s="20"/>
      <c r="C803" s="21"/>
      <c r="D803" s="23"/>
      <c r="H803" s="22"/>
    </row>
    <row r="804">
      <c r="A804" s="20"/>
      <c r="B804" s="20"/>
      <c r="C804" s="21"/>
      <c r="D804" s="23"/>
      <c r="H804" s="22"/>
    </row>
    <row r="805">
      <c r="A805" s="20"/>
      <c r="B805" s="20"/>
      <c r="C805" s="21"/>
      <c r="D805" s="23"/>
      <c r="H805" s="22"/>
    </row>
    <row r="806">
      <c r="A806" s="20"/>
      <c r="B806" s="20"/>
      <c r="C806" s="21"/>
      <c r="D806" s="23"/>
      <c r="H806" s="22"/>
    </row>
    <row r="807">
      <c r="A807" s="20"/>
      <c r="B807" s="20"/>
      <c r="C807" s="21"/>
      <c r="D807" s="23"/>
      <c r="H807" s="22"/>
    </row>
    <row r="808">
      <c r="A808" s="20"/>
      <c r="B808" s="20"/>
      <c r="C808" s="21"/>
      <c r="D808" s="23"/>
      <c r="H808" s="22"/>
    </row>
    <row r="809">
      <c r="A809" s="20"/>
      <c r="B809" s="20"/>
      <c r="C809" s="21"/>
      <c r="D809" s="23"/>
      <c r="H809" s="22"/>
    </row>
    <row r="810">
      <c r="A810" s="20"/>
      <c r="B810" s="20"/>
      <c r="C810" s="21"/>
      <c r="D810" s="23"/>
      <c r="H810" s="22"/>
    </row>
    <row r="811">
      <c r="A811" s="20"/>
      <c r="B811" s="20"/>
      <c r="C811" s="21"/>
      <c r="D811" s="23"/>
      <c r="H811" s="22"/>
    </row>
    <row r="812">
      <c r="A812" s="20"/>
      <c r="B812" s="20"/>
      <c r="C812" s="21"/>
      <c r="D812" s="23"/>
      <c r="H812" s="22"/>
    </row>
    <row r="813">
      <c r="A813" s="20"/>
      <c r="B813" s="20"/>
      <c r="C813" s="21"/>
      <c r="D813" s="23"/>
      <c r="H813" s="22"/>
    </row>
    <row r="814">
      <c r="A814" s="20"/>
      <c r="B814" s="20"/>
      <c r="C814" s="21"/>
      <c r="D814" s="23"/>
      <c r="H814" s="22"/>
    </row>
    <row r="815">
      <c r="A815" s="20"/>
      <c r="B815" s="20"/>
      <c r="C815" s="21"/>
      <c r="D815" s="23"/>
      <c r="H815" s="22"/>
    </row>
    <row r="816">
      <c r="A816" s="20"/>
      <c r="B816" s="20"/>
      <c r="C816" s="21"/>
      <c r="D816" s="23"/>
      <c r="H816" s="22"/>
    </row>
    <row r="817">
      <c r="A817" s="20"/>
      <c r="B817" s="20"/>
      <c r="C817" s="21"/>
      <c r="D817" s="23"/>
      <c r="H817" s="22"/>
    </row>
    <row r="818">
      <c r="A818" s="20"/>
      <c r="B818" s="20"/>
      <c r="C818" s="21"/>
      <c r="D818" s="23"/>
      <c r="H818" s="22"/>
    </row>
    <row r="819">
      <c r="A819" s="20"/>
      <c r="B819" s="20"/>
      <c r="C819" s="21"/>
      <c r="D819" s="23"/>
      <c r="H819" s="22"/>
    </row>
    <row r="820">
      <c r="A820" s="20"/>
      <c r="B820" s="20"/>
      <c r="C820" s="21"/>
      <c r="D820" s="23"/>
      <c r="H820" s="22"/>
    </row>
    <row r="821">
      <c r="A821" s="20"/>
      <c r="B821" s="20"/>
      <c r="C821" s="21"/>
      <c r="D821" s="23"/>
      <c r="H821" s="22"/>
    </row>
    <row r="822">
      <c r="A822" s="20"/>
      <c r="B822" s="20"/>
      <c r="C822" s="21"/>
      <c r="D822" s="23"/>
      <c r="H822" s="22"/>
    </row>
    <row r="823">
      <c r="A823" s="20"/>
      <c r="B823" s="20"/>
      <c r="C823" s="21"/>
      <c r="D823" s="23"/>
      <c r="H823" s="22"/>
    </row>
    <row r="824">
      <c r="A824" s="20"/>
      <c r="B824" s="20"/>
      <c r="C824" s="21"/>
      <c r="D824" s="23"/>
      <c r="H824" s="22"/>
    </row>
    <row r="825">
      <c r="A825" s="20"/>
      <c r="B825" s="20"/>
      <c r="C825" s="21"/>
      <c r="D825" s="23"/>
      <c r="H825" s="22"/>
    </row>
    <row r="826">
      <c r="A826" s="20"/>
      <c r="B826" s="20"/>
      <c r="C826" s="21"/>
      <c r="D826" s="23"/>
      <c r="H826" s="22"/>
    </row>
    <row r="827">
      <c r="A827" s="20"/>
      <c r="B827" s="20"/>
      <c r="C827" s="21"/>
      <c r="D827" s="23"/>
      <c r="H827" s="22"/>
    </row>
    <row r="828">
      <c r="A828" s="20"/>
      <c r="B828" s="20"/>
      <c r="C828" s="21"/>
      <c r="D828" s="23"/>
      <c r="H828" s="22"/>
    </row>
    <row r="829">
      <c r="A829" s="20"/>
      <c r="B829" s="20"/>
      <c r="C829" s="21"/>
      <c r="D829" s="23"/>
      <c r="H829" s="22"/>
    </row>
    <row r="830">
      <c r="A830" s="20"/>
      <c r="B830" s="20"/>
      <c r="C830" s="21"/>
      <c r="D830" s="23"/>
      <c r="H830" s="22"/>
    </row>
    <row r="831">
      <c r="A831" s="20"/>
      <c r="B831" s="20"/>
      <c r="C831" s="21"/>
      <c r="D831" s="23"/>
      <c r="H831" s="22"/>
    </row>
    <row r="832">
      <c r="A832" s="20"/>
      <c r="B832" s="20"/>
      <c r="C832" s="21"/>
      <c r="D832" s="23"/>
      <c r="H832" s="22"/>
    </row>
    <row r="833">
      <c r="A833" s="20"/>
      <c r="B833" s="20"/>
      <c r="C833" s="21"/>
      <c r="D833" s="23"/>
      <c r="H833" s="22"/>
    </row>
    <row r="834">
      <c r="A834" s="20"/>
      <c r="B834" s="20"/>
      <c r="C834" s="21"/>
      <c r="D834" s="23"/>
      <c r="H834" s="22"/>
    </row>
    <row r="835">
      <c r="A835" s="20"/>
      <c r="B835" s="20"/>
      <c r="C835" s="21"/>
      <c r="D835" s="23"/>
      <c r="H835" s="22"/>
    </row>
    <row r="836">
      <c r="A836" s="20"/>
      <c r="B836" s="20"/>
      <c r="C836" s="21"/>
      <c r="D836" s="23"/>
      <c r="H836" s="22"/>
    </row>
    <row r="837">
      <c r="A837" s="20"/>
      <c r="B837" s="20"/>
      <c r="C837" s="21"/>
      <c r="D837" s="23"/>
      <c r="H837" s="22"/>
    </row>
    <row r="838">
      <c r="A838" s="20"/>
      <c r="B838" s="20"/>
      <c r="C838" s="21"/>
      <c r="D838" s="23"/>
      <c r="H838" s="22"/>
    </row>
    <row r="839">
      <c r="A839" s="20"/>
      <c r="B839" s="20"/>
      <c r="C839" s="21"/>
      <c r="D839" s="23"/>
      <c r="H839" s="22"/>
    </row>
    <row r="840">
      <c r="A840" s="20"/>
      <c r="B840" s="20"/>
      <c r="C840" s="21"/>
      <c r="D840" s="23"/>
      <c r="H840" s="22"/>
    </row>
    <row r="841">
      <c r="A841" s="20"/>
      <c r="B841" s="20"/>
      <c r="C841" s="21"/>
      <c r="D841" s="23"/>
      <c r="H841" s="22"/>
    </row>
    <row r="842">
      <c r="A842" s="20"/>
      <c r="B842" s="20"/>
      <c r="C842" s="21"/>
      <c r="D842" s="23"/>
      <c r="H842" s="22"/>
    </row>
    <row r="843">
      <c r="A843" s="20"/>
      <c r="B843" s="20"/>
      <c r="C843" s="21"/>
      <c r="D843" s="23"/>
      <c r="H843" s="22"/>
    </row>
    <row r="844">
      <c r="A844" s="20"/>
      <c r="B844" s="20"/>
      <c r="C844" s="21"/>
      <c r="D844" s="23"/>
      <c r="H844" s="22"/>
    </row>
    <row r="845">
      <c r="A845" s="20"/>
      <c r="B845" s="20"/>
      <c r="C845" s="21"/>
      <c r="D845" s="23"/>
      <c r="H845" s="22"/>
    </row>
    <row r="846">
      <c r="A846" s="20"/>
      <c r="B846" s="20"/>
      <c r="C846" s="21"/>
      <c r="D846" s="23"/>
      <c r="H846" s="22"/>
    </row>
    <row r="847">
      <c r="A847" s="20"/>
      <c r="B847" s="20"/>
      <c r="C847" s="21"/>
      <c r="D847" s="23"/>
      <c r="H847" s="22"/>
    </row>
    <row r="848">
      <c r="A848" s="20"/>
      <c r="B848" s="20"/>
      <c r="C848" s="21"/>
      <c r="D848" s="23"/>
      <c r="H848" s="22"/>
    </row>
    <row r="849">
      <c r="A849" s="20"/>
      <c r="B849" s="20"/>
      <c r="C849" s="21"/>
      <c r="D849" s="23"/>
      <c r="H849" s="22"/>
    </row>
    <row r="850">
      <c r="A850" s="20"/>
      <c r="B850" s="20"/>
      <c r="C850" s="21"/>
      <c r="D850" s="23"/>
      <c r="H850" s="22"/>
    </row>
    <row r="851">
      <c r="A851" s="20"/>
      <c r="B851" s="20"/>
      <c r="C851" s="21"/>
      <c r="D851" s="23"/>
      <c r="H851" s="22"/>
    </row>
    <row r="852">
      <c r="A852" s="20"/>
      <c r="B852" s="20"/>
      <c r="C852" s="21"/>
      <c r="D852" s="23"/>
      <c r="H852" s="22"/>
    </row>
    <row r="853">
      <c r="A853" s="20"/>
      <c r="B853" s="20"/>
      <c r="C853" s="21"/>
      <c r="D853" s="23"/>
      <c r="H853" s="22"/>
    </row>
    <row r="854">
      <c r="A854" s="20"/>
      <c r="B854" s="20"/>
      <c r="C854" s="21"/>
      <c r="D854" s="23"/>
      <c r="H854" s="22"/>
    </row>
    <row r="855">
      <c r="A855" s="20"/>
      <c r="B855" s="20"/>
      <c r="C855" s="21"/>
      <c r="D855" s="23"/>
      <c r="H855" s="22"/>
    </row>
    <row r="856">
      <c r="A856" s="20"/>
      <c r="B856" s="20"/>
      <c r="C856" s="21"/>
      <c r="D856" s="23"/>
      <c r="H856" s="22"/>
    </row>
    <row r="857">
      <c r="A857" s="20"/>
      <c r="B857" s="20"/>
      <c r="C857" s="21"/>
      <c r="D857" s="23"/>
      <c r="H857" s="22"/>
    </row>
    <row r="858">
      <c r="A858" s="20"/>
      <c r="B858" s="20"/>
      <c r="C858" s="21"/>
      <c r="D858" s="23"/>
      <c r="H858" s="22"/>
    </row>
    <row r="859">
      <c r="A859" s="20"/>
      <c r="B859" s="20"/>
      <c r="C859" s="21"/>
      <c r="D859" s="23"/>
      <c r="H859" s="22"/>
    </row>
    <row r="860">
      <c r="A860" s="20"/>
      <c r="B860" s="20"/>
      <c r="C860" s="21"/>
      <c r="D860" s="23"/>
      <c r="H860" s="22"/>
    </row>
    <row r="861">
      <c r="A861" s="20"/>
      <c r="B861" s="20"/>
      <c r="C861" s="21"/>
      <c r="D861" s="23"/>
      <c r="H861" s="22"/>
    </row>
    <row r="862">
      <c r="A862" s="20"/>
      <c r="B862" s="20"/>
      <c r="C862" s="21"/>
      <c r="D862" s="23"/>
      <c r="H862" s="22"/>
    </row>
    <row r="863">
      <c r="A863" s="20"/>
      <c r="B863" s="20"/>
      <c r="C863" s="21"/>
      <c r="D863" s="23"/>
      <c r="H863" s="22"/>
    </row>
    <row r="864">
      <c r="A864" s="20"/>
      <c r="B864" s="20"/>
      <c r="C864" s="21"/>
      <c r="D864" s="23"/>
      <c r="H864" s="22"/>
    </row>
    <row r="865">
      <c r="A865" s="20"/>
      <c r="B865" s="20"/>
      <c r="C865" s="21"/>
      <c r="D865" s="23"/>
      <c r="H865" s="22"/>
    </row>
    <row r="866">
      <c r="A866" s="20"/>
      <c r="B866" s="20"/>
      <c r="C866" s="21"/>
      <c r="D866" s="23"/>
      <c r="H866" s="22"/>
    </row>
    <row r="867">
      <c r="A867" s="20"/>
      <c r="B867" s="20"/>
      <c r="C867" s="21"/>
      <c r="D867" s="23"/>
      <c r="H867" s="22"/>
    </row>
    <row r="868">
      <c r="A868" s="20"/>
      <c r="B868" s="20"/>
      <c r="C868" s="21"/>
      <c r="D868" s="23"/>
      <c r="H868" s="22"/>
    </row>
    <row r="869">
      <c r="A869" s="20"/>
      <c r="B869" s="20"/>
      <c r="C869" s="21"/>
      <c r="D869" s="23"/>
      <c r="H869" s="22"/>
    </row>
    <row r="870">
      <c r="A870" s="20"/>
      <c r="B870" s="20"/>
      <c r="C870" s="21"/>
      <c r="D870" s="23"/>
      <c r="H870" s="22"/>
    </row>
    <row r="871">
      <c r="A871" s="20"/>
      <c r="B871" s="20"/>
      <c r="C871" s="21"/>
      <c r="D871" s="23"/>
      <c r="H871" s="22"/>
    </row>
    <row r="872">
      <c r="A872" s="20"/>
      <c r="B872" s="20"/>
      <c r="C872" s="21"/>
      <c r="D872" s="23"/>
      <c r="H872" s="22"/>
    </row>
    <row r="873">
      <c r="A873" s="20"/>
      <c r="B873" s="20"/>
      <c r="C873" s="21"/>
      <c r="D873" s="23"/>
      <c r="H873" s="22"/>
    </row>
    <row r="874">
      <c r="A874" s="20"/>
      <c r="B874" s="20"/>
      <c r="C874" s="21"/>
      <c r="D874" s="23"/>
      <c r="H874" s="22"/>
    </row>
    <row r="875">
      <c r="A875" s="20"/>
      <c r="B875" s="20"/>
      <c r="C875" s="21"/>
      <c r="D875" s="23"/>
      <c r="H875" s="22"/>
    </row>
    <row r="876">
      <c r="A876" s="20"/>
      <c r="B876" s="20"/>
      <c r="C876" s="21"/>
      <c r="D876" s="23"/>
      <c r="H876" s="22"/>
    </row>
    <row r="877">
      <c r="A877" s="20"/>
      <c r="B877" s="20"/>
      <c r="C877" s="21"/>
      <c r="D877" s="23"/>
      <c r="H877" s="22"/>
    </row>
    <row r="878">
      <c r="A878" s="20"/>
      <c r="B878" s="20"/>
      <c r="C878" s="21"/>
      <c r="D878" s="23"/>
      <c r="H878" s="22"/>
    </row>
    <row r="879">
      <c r="A879" s="20"/>
      <c r="B879" s="20"/>
      <c r="C879" s="21"/>
      <c r="D879" s="23"/>
      <c r="H879" s="22"/>
    </row>
    <row r="880">
      <c r="A880" s="20"/>
      <c r="B880" s="20"/>
      <c r="C880" s="21"/>
      <c r="D880" s="23"/>
      <c r="H880" s="22"/>
    </row>
    <row r="881">
      <c r="A881" s="20"/>
      <c r="B881" s="20"/>
      <c r="C881" s="21"/>
      <c r="D881" s="23"/>
      <c r="H881" s="22"/>
    </row>
    <row r="882">
      <c r="A882" s="20"/>
      <c r="B882" s="20"/>
      <c r="C882" s="21"/>
      <c r="D882" s="23"/>
      <c r="H882" s="22"/>
    </row>
    <row r="883">
      <c r="A883" s="20"/>
      <c r="B883" s="20"/>
      <c r="C883" s="21"/>
      <c r="D883" s="23"/>
      <c r="H883" s="22"/>
    </row>
    <row r="884">
      <c r="A884" s="20"/>
      <c r="B884" s="20"/>
      <c r="C884" s="21"/>
      <c r="D884" s="23"/>
      <c r="H884" s="22"/>
    </row>
    <row r="885">
      <c r="A885" s="20"/>
      <c r="B885" s="20"/>
      <c r="C885" s="21"/>
      <c r="D885" s="23"/>
      <c r="H885" s="22"/>
    </row>
    <row r="886">
      <c r="A886" s="20"/>
      <c r="B886" s="20"/>
      <c r="C886" s="21"/>
      <c r="D886" s="23"/>
      <c r="H886" s="22"/>
    </row>
    <row r="887">
      <c r="A887" s="20"/>
      <c r="B887" s="20"/>
      <c r="C887" s="21"/>
      <c r="D887" s="23"/>
      <c r="H887" s="22"/>
    </row>
    <row r="888">
      <c r="A888" s="20"/>
      <c r="B888" s="20"/>
      <c r="C888" s="21"/>
      <c r="D888" s="23"/>
      <c r="H888" s="22"/>
    </row>
    <row r="889">
      <c r="A889" s="20"/>
      <c r="B889" s="20"/>
      <c r="C889" s="21"/>
      <c r="D889" s="23"/>
      <c r="H889" s="22"/>
    </row>
    <row r="890">
      <c r="A890" s="20"/>
      <c r="B890" s="20"/>
      <c r="C890" s="21"/>
      <c r="D890" s="23"/>
      <c r="H890" s="22"/>
    </row>
    <row r="891">
      <c r="A891" s="20"/>
      <c r="B891" s="20"/>
      <c r="C891" s="21"/>
      <c r="D891" s="23"/>
      <c r="H891" s="22"/>
    </row>
    <row r="892">
      <c r="A892" s="20"/>
      <c r="B892" s="20"/>
      <c r="C892" s="21"/>
      <c r="D892" s="23"/>
      <c r="H892" s="22"/>
    </row>
    <row r="893">
      <c r="A893" s="20"/>
      <c r="B893" s="20"/>
      <c r="C893" s="21"/>
      <c r="D893" s="23"/>
      <c r="H893" s="22"/>
    </row>
    <row r="894">
      <c r="A894" s="20"/>
      <c r="B894" s="20"/>
      <c r="C894" s="21"/>
      <c r="D894" s="23"/>
      <c r="H894" s="22"/>
    </row>
    <row r="895">
      <c r="A895" s="20"/>
      <c r="B895" s="20"/>
      <c r="C895" s="21"/>
      <c r="D895" s="23"/>
      <c r="H895" s="22"/>
    </row>
    <row r="896">
      <c r="A896" s="20"/>
      <c r="B896" s="20"/>
      <c r="C896" s="21"/>
      <c r="D896" s="23"/>
      <c r="H896" s="22"/>
    </row>
    <row r="897">
      <c r="A897" s="20"/>
      <c r="B897" s="20"/>
      <c r="C897" s="21"/>
      <c r="D897" s="23"/>
      <c r="H897" s="22"/>
    </row>
    <row r="898">
      <c r="A898" s="20"/>
      <c r="B898" s="20"/>
      <c r="C898" s="21"/>
      <c r="D898" s="23"/>
      <c r="H898" s="22"/>
    </row>
    <row r="899">
      <c r="A899" s="20"/>
      <c r="B899" s="20"/>
      <c r="C899" s="21"/>
      <c r="D899" s="23"/>
      <c r="H899" s="22"/>
    </row>
    <row r="900">
      <c r="A900" s="20"/>
      <c r="B900" s="20"/>
      <c r="C900" s="21"/>
      <c r="D900" s="23"/>
      <c r="H900" s="22"/>
    </row>
    <row r="901">
      <c r="A901" s="20"/>
      <c r="B901" s="20"/>
      <c r="C901" s="21"/>
      <c r="D901" s="23"/>
      <c r="H901" s="22"/>
    </row>
    <row r="902">
      <c r="A902" s="20"/>
      <c r="B902" s="20"/>
      <c r="C902" s="21"/>
      <c r="D902" s="23"/>
      <c r="H902" s="22"/>
    </row>
    <row r="903">
      <c r="A903" s="20"/>
      <c r="B903" s="20"/>
      <c r="C903" s="21"/>
      <c r="D903" s="23"/>
      <c r="H903" s="22"/>
    </row>
    <row r="904">
      <c r="A904" s="20"/>
      <c r="B904" s="20"/>
      <c r="C904" s="21"/>
      <c r="D904" s="23"/>
      <c r="H904" s="22"/>
    </row>
    <row r="905">
      <c r="A905" s="20"/>
      <c r="B905" s="20"/>
      <c r="C905" s="21"/>
      <c r="D905" s="23"/>
      <c r="H905" s="22"/>
    </row>
    <row r="906">
      <c r="A906" s="20"/>
      <c r="B906" s="20"/>
      <c r="C906" s="21"/>
      <c r="D906" s="23"/>
      <c r="H906" s="22"/>
    </row>
    <row r="907">
      <c r="A907" s="20"/>
      <c r="B907" s="20"/>
      <c r="C907" s="21"/>
      <c r="D907" s="23"/>
      <c r="H907" s="22"/>
    </row>
    <row r="908">
      <c r="A908" s="20"/>
      <c r="B908" s="20"/>
      <c r="C908" s="21"/>
      <c r="D908" s="23"/>
      <c r="H908" s="22"/>
    </row>
    <row r="909">
      <c r="A909" s="20"/>
      <c r="B909" s="20"/>
      <c r="C909" s="21"/>
      <c r="D909" s="23"/>
      <c r="H909" s="22"/>
    </row>
    <row r="910">
      <c r="A910" s="20"/>
      <c r="B910" s="20"/>
      <c r="C910" s="21"/>
      <c r="D910" s="23"/>
      <c r="H910" s="22"/>
    </row>
    <row r="911">
      <c r="A911" s="20"/>
      <c r="B911" s="20"/>
      <c r="C911" s="21"/>
      <c r="D911" s="23"/>
      <c r="H911" s="22"/>
    </row>
    <row r="912">
      <c r="A912" s="20"/>
      <c r="B912" s="20"/>
      <c r="C912" s="21"/>
      <c r="D912" s="23"/>
      <c r="H912" s="22"/>
    </row>
    <row r="913">
      <c r="A913" s="20"/>
      <c r="B913" s="20"/>
      <c r="C913" s="21"/>
      <c r="D913" s="23"/>
      <c r="H913" s="22"/>
    </row>
    <row r="914">
      <c r="A914" s="20"/>
      <c r="B914" s="20"/>
      <c r="C914" s="21"/>
      <c r="D914" s="23"/>
      <c r="H914" s="22"/>
    </row>
    <row r="915">
      <c r="A915" s="20"/>
      <c r="B915" s="20"/>
      <c r="C915" s="21"/>
      <c r="D915" s="23"/>
      <c r="H915" s="22"/>
    </row>
    <row r="916">
      <c r="A916" s="20"/>
      <c r="B916" s="20"/>
      <c r="C916" s="21"/>
      <c r="D916" s="23"/>
      <c r="H916" s="22"/>
    </row>
    <row r="917">
      <c r="A917" s="20"/>
      <c r="B917" s="20"/>
      <c r="C917" s="21"/>
      <c r="D917" s="23"/>
      <c r="H917" s="22"/>
    </row>
    <row r="918">
      <c r="A918" s="20"/>
      <c r="B918" s="20"/>
      <c r="C918" s="21"/>
      <c r="D918" s="23"/>
      <c r="H918" s="22"/>
    </row>
    <row r="919">
      <c r="A919" s="20"/>
      <c r="B919" s="20"/>
      <c r="C919" s="21"/>
      <c r="D919" s="23"/>
      <c r="H919" s="22"/>
    </row>
    <row r="920">
      <c r="A920" s="20"/>
      <c r="B920" s="20"/>
      <c r="C920" s="21"/>
      <c r="D920" s="23"/>
      <c r="H920" s="22"/>
    </row>
    <row r="921">
      <c r="A921" s="20"/>
      <c r="B921" s="20"/>
      <c r="C921" s="21"/>
      <c r="D921" s="23"/>
      <c r="H921" s="22"/>
    </row>
    <row r="922">
      <c r="A922" s="20"/>
      <c r="B922" s="20"/>
      <c r="C922" s="21"/>
      <c r="D922" s="23"/>
      <c r="H922" s="22"/>
    </row>
    <row r="923">
      <c r="A923" s="20"/>
      <c r="B923" s="20"/>
      <c r="C923" s="21"/>
      <c r="D923" s="23"/>
      <c r="H923" s="22"/>
    </row>
    <row r="924">
      <c r="A924" s="20"/>
      <c r="B924" s="20"/>
      <c r="C924" s="21"/>
      <c r="D924" s="23"/>
      <c r="H924" s="22"/>
    </row>
    <row r="925">
      <c r="A925" s="20"/>
      <c r="B925" s="20"/>
      <c r="C925" s="21"/>
      <c r="D925" s="23"/>
      <c r="H925" s="22"/>
    </row>
    <row r="926">
      <c r="A926" s="20"/>
      <c r="B926" s="20"/>
      <c r="C926" s="21"/>
      <c r="D926" s="23"/>
      <c r="H926" s="22"/>
    </row>
    <row r="927">
      <c r="A927" s="20"/>
      <c r="B927" s="20"/>
      <c r="C927" s="21"/>
      <c r="D927" s="23"/>
      <c r="H927" s="22"/>
    </row>
    <row r="928">
      <c r="A928" s="20"/>
      <c r="B928" s="20"/>
      <c r="C928" s="21"/>
      <c r="D928" s="23"/>
      <c r="H928" s="22"/>
    </row>
    <row r="929">
      <c r="A929" s="20"/>
      <c r="B929" s="20"/>
      <c r="C929" s="21"/>
      <c r="D929" s="23"/>
      <c r="H929" s="22"/>
    </row>
    <row r="930">
      <c r="A930" s="20"/>
      <c r="B930" s="20"/>
      <c r="C930" s="21"/>
      <c r="D930" s="23"/>
      <c r="H930" s="22"/>
    </row>
    <row r="931">
      <c r="A931" s="20"/>
      <c r="B931" s="20"/>
      <c r="C931" s="21"/>
      <c r="D931" s="23"/>
      <c r="H931" s="22"/>
    </row>
    <row r="932">
      <c r="A932" s="20"/>
      <c r="B932" s="20"/>
      <c r="C932" s="21"/>
      <c r="D932" s="23"/>
      <c r="H932" s="22"/>
    </row>
    <row r="933">
      <c r="A933" s="20"/>
      <c r="B933" s="20"/>
      <c r="C933" s="21"/>
      <c r="D933" s="23"/>
      <c r="H933" s="22"/>
    </row>
    <row r="934">
      <c r="A934" s="20"/>
      <c r="B934" s="20"/>
      <c r="C934" s="21"/>
      <c r="D934" s="23"/>
      <c r="H934" s="22"/>
    </row>
    <row r="935">
      <c r="A935" s="20"/>
      <c r="B935" s="20"/>
      <c r="C935" s="21"/>
      <c r="D935" s="23"/>
      <c r="H935" s="22"/>
    </row>
    <row r="936">
      <c r="A936" s="20"/>
      <c r="B936" s="20"/>
      <c r="C936" s="21"/>
      <c r="D936" s="23"/>
      <c r="H936" s="22"/>
    </row>
    <row r="937">
      <c r="A937" s="20"/>
      <c r="B937" s="20"/>
      <c r="C937" s="21"/>
      <c r="D937" s="23"/>
      <c r="H937" s="22"/>
    </row>
    <row r="938">
      <c r="A938" s="20"/>
      <c r="B938" s="20"/>
      <c r="C938" s="21"/>
      <c r="D938" s="23"/>
      <c r="H938" s="22"/>
    </row>
    <row r="939">
      <c r="A939" s="20"/>
      <c r="B939" s="20"/>
      <c r="C939" s="21"/>
      <c r="D939" s="23"/>
      <c r="H939" s="22"/>
    </row>
    <row r="940">
      <c r="A940" s="20"/>
      <c r="B940" s="20"/>
      <c r="C940" s="21"/>
      <c r="D940" s="23"/>
      <c r="H940" s="22"/>
    </row>
    <row r="941">
      <c r="A941" s="20"/>
      <c r="B941" s="20"/>
      <c r="C941" s="21"/>
      <c r="D941" s="23"/>
      <c r="H941" s="22"/>
    </row>
    <row r="942">
      <c r="A942" s="20"/>
      <c r="B942" s="20"/>
      <c r="C942" s="21"/>
      <c r="D942" s="23"/>
      <c r="H942" s="22"/>
    </row>
    <row r="943">
      <c r="A943" s="20"/>
      <c r="B943" s="20"/>
      <c r="C943" s="21"/>
      <c r="D943" s="23"/>
      <c r="H943" s="22"/>
    </row>
    <row r="944">
      <c r="A944" s="20"/>
      <c r="B944" s="20"/>
      <c r="C944" s="21"/>
      <c r="D944" s="23"/>
      <c r="H944" s="22"/>
    </row>
    <row r="945">
      <c r="A945" s="20"/>
      <c r="B945" s="20"/>
      <c r="C945" s="21"/>
      <c r="D945" s="23"/>
      <c r="H945" s="22"/>
    </row>
    <row r="946">
      <c r="A946" s="20"/>
      <c r="B946" s="20"/>
      <c r="C946" s="21"/>
      <c r="D946" s="23"/>
      <c r="H946" s="22"/>
    </row>
    <row r="947">
      <c r="A947" s="20"/>
      <c r="B947" s="20"/>
      <c r="C947" s="21"/>
      <c r="D947" s="23"/>
      <c r="H947" s="22"/>
    </row>
    <row r="948">
      <c r="A948" s="20"/>
      <c r="B948" s="20"/>
      <c r="C948" s="21"/>
      <c r="D948" s="23"/>
      <c r="H948" s="22"/>
    </row>
    <row r="949">
      <c r="A949" s="20"/>
      <c r="B949" s="20"/>
      <c r="C949" s="21"/>
      <c r="D949" s="23"/>
      <c r="H949" s="22"/>
    </row>
    <row r="950">
      <c r="A950" s="20"/>
      <c r="B950" s="20"/>
      <c r="C950" s="21"/>
      <c r="D950" s="23"/>
      <c r="H950" s="22"/>
    </row>
    <row r="951">
      <c r="A951" s="20"/>
      <c r="B951" s="20"/>
      <c r="C951" s="21"/>
      <c r="D951" s="23"/>
      <c r="H951" s="22"/>
    </row>
    <row r="952">
      <c r="A952" s="20"/>
      <c r="B952" s="20"/>
      <c r="C952" s="21"/>
      <c r="D952" s="23"/>
      <c r="H952" s="22"/>
    </row>
    <row r="953">
      <c r="A953" s="20"/>
      <c r="B953" s="20"/>
      <c r="C953" s="21"/>
      <c r="D953" s="23"/>
      <c r="H953" s="22"/>
    </row>
    <row r="954">
      <c r="A954" s="20"/>
      <c r="B954" s="20"/>
      <c r="C954" s="21"/>
      <c r="D954" s="23"/>
      <c r="H954" s="22"/>
    </row>
    <row r="955">
      <c r="A955" s="20"/>
      <c r="B955" s="20"/>
      <c r="C955" s="21"/>
      <c r="D955" s="23"/>
      <c r="H955" s="22"/>
    </row>
    <row r="956">
      <c r="A956" s="20"/>
      <c r="B956" s="20"/>
      <c r="C956" s="21"/>
      <c r="D956" s="23"/>
      <c r="H956" s="22"/>
    </row>
    <row r="957">
      <c r="A957" s="20"/>
      <c r="B957" s="20"/>
      <c r="C957" s="21"/>
      <c r="D957" s="23"/>
      <c r="H957" s="22"/>
    </row>
    <row r="958">
      <c r="A958" s="20"/>
      <c r="B958" s="20"/>
      <c r="C958" s="21"/>
      <c r="D958" s="23"/>
      <c r="H958" s="22"/>
    </row>
    <row r="959">
      <c r="A959" s="20"/>
      <c r="B959" s="20"/>
      <c r="C959" s="21"/>
      <c r="D959" s="23"/>
      <c r="H959" s="22"/>
    </row>
    <row r="960">
      <c r="A960" s="20"/>
      <c r="B960" s="20"/>
      <c r="C960" s="21"/>
      <c r="D960" s="23"/>
      <c r="H960" s="22"/>
    </row>
    <row r="961">
      <c r="A961" s="20"/>
      <c r="B961" s="20"/>
      <c r="C961" s="21"/>
      <c r="D961" s="23"/>
      <c r="H961" s="22"/>
    </row>
    <row r="962">
      <c r="A962" s="20"/>
      <c r="B962" s="20"/>
      <c r="C962" s="21"/>
      <c r="D962" s="23"/>
      <c r="H962" s="22"/>
    </row>
    <row r="963">
      <c r="A963" s="20"/>
      <c r="B963" s="20"/>
      <c r="C963" s="21"/>
      <c r="D963" s="23"/>
      <c r="H963" s="22"/>
    </row>
    <row r="964">
      <c r="A964" s="20"/>
      <c r="B964" s="20"/>
      <c r="C964" s="21"/>
      <c r="D964" s="23"/>
      <c r="H964" s="22"/>
    </row>
    <row r="965">
      <c r="A965" s="20"/>
      <c r="B965" s="20"/>
      <c r="C965" s="21"/>
      <c r="D965" s="23"/>
      <c r="H965" s="22"/>
    </row>
    <row r="966">
      <c r="A966" s="20"/>
      <c r="B966" s="20"/>
      <c r="C966" s="21"/>
      <c r="D966" s="23"/>
      <c r="H966" s="22"/>
    </row>
    <row r="967">
      <c r="A967" s="20"/>
      <c r="B967" s="20"/>
      <c r="C967" s="21"/>
      <c r="D967" s="23"/>
      <c r="H967" s="22"/>
    </row>
    <row r="968">
      <c r="A968" s="20"/>
      <c r="B968" s="20"/>
      <c r="C968" s="21"/>
      <c r="D968" s="23"/>
      <c r="H968" s="22"/>
    </row>
    <row r="969">
      <c r="A969" s="20"/>
      <c r="B969" s="20"/>
      <c r="C969" s="21"/>
      <c r="D969" s="23"/>
      <c r="H969" s="22"/>
    </row>
  </sheetData>
  <customSheetViews>
    <customSheetView guid="{9D8B9EB3-E4E5-4AA9-BAA5-879AB90C20D0}" filter="1" showAutoFilter="1">
      <autoFilter ref="$A$1:$I$33"/>
    </customSheetView>
  </customSheetViews>
  <printOptions gridLines="1" horizontalCentered="1"/>
  <pageMargins bottom="0.75" footer="0.0" header="0.0" left="0.7" right="0.7" top="0.75"/>
  <pageSetup fitToHeight="0" paperSize="9" cellComments="atEnd" orientation="landscape" pageOrder="overThenDown"/>
  <drawing r:id="rId1"/>
</worksheet>
</file>