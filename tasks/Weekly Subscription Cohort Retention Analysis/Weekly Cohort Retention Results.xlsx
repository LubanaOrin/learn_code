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state="visible" name="SQL Result" sheetId="2" r:id="rId6"/>
    <sheet state="visible" name="Pivot Table 4" sheetId="3" r:id="rId7"/>
    <sheet state="visible" name="Cohort Results" sheetId="4" r:id="rId8"/>
  </sheets>
  <definedNames>
    <definedName hidden="1" localSheetId="1" name="_xlnm._FilterDatabase">'SQL Result'!$A$1:$Z$1000</definedName>
  </definedNames>
  <calcPr/>
  <pivotCaches>
    <pivotCache cacheId="0" r:id="rId9"/>
  </pivotCaches>
</workbook>
</file>

<file path=xl/sharedStrings.xml><?xml version="1.0" encoding="utf-8"?>
<sst xmlns="http://schemas.openxmlformats.org/spreadsheetml/2006/main" count="18" uniqueCount="15">
  <si>
    <t>-- Weekly cohort retention analysis (Week 0 to Week 6)
-- Analysis date: 2021-02-07
-- Cohort = user's first subscription_start week (Monday)
-- Active in week = subscription overlaps that week window
-- Weeks beyond what’s observable by analysis date are returned as NULL
WITH analysis_parameters AS (
  SELECT
    DATE '2021-02-07' AS analysis_date
),
user_cohort_weeks AS (
  SELECT
    subscriptions.user_pseudo_id AS user_pseudo_id,
    DATE_TRUNC(MIN(subscriptions.subscription_start), WEEK(MONDAY)) AS cohort_week
  FROM `your_project.your_dataset.subscriptions` AS subscriptions
  GROUP BY subscriptions.user_pseudo_id
),
cohort_sizes AS (
  SELECT
    user_cohort_weeks.cohort_week AS cohort_week,
    COUNT(DISTINCT user_cohort_weeks.user_pseudo_id) AS cohort_size
  FROM user_cohort_weeks
  GROUP BY user_cohort_weeks.cohort_week
),
candidate_active_weeks AS (
  SELECT
    subscriptions.user_pseudo_id AS user_pseudo_id,
    generated_week_start AS active_week
  FROM `your_project.your_dataset.subscriptions` AS subscriptions
  CROSS JOIN analysis_parameters
  CROSS JOIN UNNEST(
    GENERATE_DATE_ARRAY(
      DATE_TRUNC(subscriptions.subscription_start, WEEK(MONDAY)),
      DATE_TRUNC(
        LEAST(
          COALESCE(subscriptions.subscription_end, analysis_parameters.analysis_date),
          analysis_parameters.analysis_date
        ),
        WEEK(MONDAY)
      ),
      INTERVAL 7 DAY
    )
  ) AS generated_week_start
),
user_active_weeks AS (
  SELECT DISTINCT
    subscriptions.user_pseudo_id AS user_pseudo_id,
    candidate_active_weeks.active_week AS active_week
  FROM `your_project.your_dataset.subscriptions` AS subscriptions
  CROSS JOIN analysis_parameters
  INNER JOIN candidate_active_weeks
    ON subscriptions.user_pseudo_id = candidate_active_weeks.user_pseudo_id
  WHERE
    -- true overlap with week window [active_week, active_week + 7 days)
    subscriptions.subscription_start &lt; DATE_ADD(candidate_active_weeks.active_week, INTERVAL 7 DAY)
    AND COALESCE(subscriptions.subscription_end, analysis_parameters.analysis_date) &gt;= candidate_active_weeks.active_week
    AND candidate_active_weeks.active_week &lt;= DATE_TRUNC(analysis_parameters.analysis_date, WEEK(MONDAY))
),
cohort_weekly_activity AS (
  SELECT
    user_cohort_weeks.user_pseudo_id AS user_pseudo_id,
    user_cohort_weeks.cohort_week AS cohort_week,
    user_active_weeks.active_week AS active_week,
    DATE_DIFF(user_active_weeks.active_week, user_cohort_weeks.cohort_week, WEEK(MONDAY)) AS week_index
  FROM user_cohort_weeks
  INNER JOIN user_active_weeks
    ON user_cohort_weeks.user_pseudo_id = user_active_weeks.user_pseudo_id
),
observed_cohort_retention AS (
  SELECT
    cohort_weekly_activity.cohort_week AS cohort_week,
    cohort_weekly_activity.week_index AS week_index,
    COUNT(DISTINCT cohort_weekly_activity.user_pseudo_id) AS active_users
  FROM cohort_weekly_activity
  WHERE cohort_weekly_activity.week_index BETWEEN 0 AND 6
  GROUP BY cohort_week, week_index
),
cohort_week_grid AS (
  SELECT
    cohort_sizes.cohort_week AS cohort_week,
    week_index_value AS week_index
  FROM cohort_sizes
  CROSS JOIN UNNEST([0,1,2,3,4,5,6]) AS week_index_value
),
cohort_observability AS (
  SELECT
    cohort_sizes.cohort_week AS cohort_week,
    DATE_DIFF(
      DATE_TRUNC(analysis_parameters.analysis_date, WEEK(MONDAY)),
      cohort_sizes.cohort_week,
      WEEK(MONDAY)
    ) AS max_observable_week_index
  FROM cohort_sizes
  CROSS JOIN analysis_parameters
)
SELECT
  cohort_week_grid.cohort_week AS cohort_week,
  cohort_week_grid.week_index AS week_index,
  CASE
    WHEN cohort_week_grid.week_index &lt;= cohort_observability.max_observable_week_index
      THEN observed_cohort_retention.active_users
    ELSE NULL
  END AS active_users,
  cohort_sizes.cohort_size AS cohort_size,
  CASE
    WHEN cohort_week_grid.week_index &lt;= cohort_observability.max_observable_week_index
      THEN SAFE_DIVIDE(observed_cohort_retention.active_users, cohort_sizes.cohort_size)
    ELSE NULL
  END AS retention_rate
FROM cohort_week_grid
INNER JOIN cohort_sizes
  ON cohort_week_grid.cohort_week = cohort_sizes.cohort_week
INNER JOIN cohort_observability
  ON cohort_week_grid.cohort_week = cohort_observability.cohort_week
LEFT JOIN observed_cohort_retention
  ON cohort_week_grid.cohort_week = observed_cohort_retention.cohort_week
  AND cohort_week_grid.week_index = observed_cohort_retention.week_index
ORDER BY
  cohort_week,
  week_index;</t>
  </si>
  <si>
    <t>cohort_week</t>
  </si>
  <si>
    <t>week_index</t>
  </si>
  <si>
    <t>active_users</t>
  </si>
  <si>
    <t>cohort_size</t>
  </si>
  <si>
    <t>retention_rate</t>
  </si>
  <si>
    <t>AVERAGE of active_users</t>
  </si>
  <si>
    <t>Weekly Retention Cohort Analysis</t>
  </si>
  <si>
    <t>week 0</t>
  </si>
  <si>
    <t>week 1</t>
  </si>
  <si>
    <t>week 2</t>
  </si>
  <si>
    <t>week 3</t>
  </si>
  <si>
    <t>week 4</t>
  </si>
  <si>
    <t>week 5</t>
  </si>
  <si>
    <t>week 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</si>
</sst>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M/d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/>
    </xf>
    <xf borderId="0" fillId="0" fontId="1" numFmtId="0" xfId="0" applyFont="1"/>
    <xf borderId="0" fillId="0" fontId="1" numFmtId="164" xfId="0" applyFont="1" applyNumberFormat="1"/>
    <xf borderId="1" fillId="0" fontId="1" numFmtId="165" xfId="0" applyAlignment="1" applyBorder="1" applyFont="1" applyNumberFormat="1">
      <alignment readingOrder="0"/>
    </xf>
    <xf borderId="2" fillId="0" fontId="2" numFmtId="0" xfId="0" applyAlignment="1" applyBorder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1" fillId="0" fontId="1" numFmtId="10" xfId="0" applyBorder="1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theme" Target="theme/theme1.xml" /><ns0:Relationship Id="rId2" Type="http://schemas.openxmlformats.org/officeDocument/2006/relationships/styles" Target="styles.xml" /><ns0:Relationship Id="rId3" Type="http://schemas.openxmlformats.org/officeDocument/2006/relationships/sharedStrings" Target="sharedStrings.xml" /><ns0:Relationship Id="rId4" Type="http://schemas.microsoft.com/office/2017/10/relationships/person" Target="persons/person.xml" /><ns0:Relationship Id="rId9" Type="http://schemas.openxmlformats.org/officeDocument/2006/relationships/pivotCacheDefinition" Target="pivotCache/pivotCacheDefinition1.xml" /><ns0:Relationship Id="rId6" Type="http://schemas.openxmlformats.org/officeDocument/2006/relationships/worksheet" Target="worksheets/sheet2.xml" /><ns0:Relationship Id="rId7" Type="http://schemas.openxmlformats.org/officeDocument/2006/relationships/worksheet" Target="worksheets/sheet3.xml" /><ns0:Relationship Id="rId8" Type="http://schemas.openxmlformats.org/officeDocument/2006/relationships/worksheet" Target="worksheets/sheet4.xml" /></ns0: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94" sheet="SQL Result"/>
  </cacheSource>
  <cacheFields>
    <cacheField name="cohort_week" numFmtId="164">
      <sharedItems containsSemiMixedTypes="0" containsDate="1" containsString="0">
        <d v="2020-10-26T00:00:00Z"/>
        <d v="2020-11-02T00:00:00Z"/>
        <d v="2020-11-09T00:00:00Z"/>
        <d v="2020-11-16T00:00:00Z"/>
        <d v="2020-11-23T00:00:00Z"/>
        <d v="2020-11-30T00:00:00Z"/>
        <d v="2020-12-07T00:00:00Z"/>
        <d v="2020-12-14T00:00:00Z"/>
        <d v="2020-12-21T00:00:00Z"/>
        <d v="2020-12-28T00:00:00Z"/>
        <d v="2021-01-04T00:00:00Z"/>
        <d v="2021-01-11T00:00:00Z"/>
        <d v="2021-01-18T00:00:00Z"/>
        <d v="2021-01-25T00:00:00Z"/>
      </sharedItems>
    </cacheField>
    <cacheField name="week_index" numFmtId="0">
      <sharedItems containsSemiMixedTypes="0" containsString="0" containsNumber="1" containsInteger="1">
        <n v="0.0"/>
        <n v="1.0"/>
        <n v="2.0"/>
        <n v="3.0"/>
        <n v="4.0"/>
        <n v="5.0"/>
        <n v="6.0"/>
      </sharedItems>
    </cacheField>
    <cacheField name="active_users" numFmtId="0">
      <sharedItems containsString="0" containsBlank="1" containsNumber="1" containsInteger="1">
        <n v="2365.0"/>
        <n v="2184.0"/>
        <n v="2133.0"/>
        <n v="2105.0"/>
        <n v="2088.0"/>
        <n v="2078.0"/>
        <n v="19374.0"/>
        <n v="18253.0"/>
        <n v="17453.0"/>
        <n v="17092.0"/>
        <n v="16888.0"/>
        <n v="16694.0"/>
        <n v="16521.0"/>
        <n v="16232.0"/>
        <n v="15324.0"/>
        <n v="14571.0"/>
        <n v="14329.0"/>
        <n v="14165.0"/>
        <n v="13988.0"/>
        <n v="13894.0"/>
        <n v="18167.0"/>
        <n v="17146.0"/>
        <n v="16439.0"/>
        <n v="16125.0"/>
        <n v="15902.0"/>
        <n v="15744.0"/>
        <n v="15700.0"/>
        <n v="20072.0"/>
        <n v="19024.0"/>
        <n v="18303.0"/>
        <n v="17967.0"/>
        <n v="17767.0"/>
        <n v="17704.0"/>
        <n v="17696.0"/>
        <n v="22034.0"/>
        <n v="20906.0"/>
        <n v="20034.0"/>
        <n v="19711.0"/>
        <n v="19635.0"/>
        <n v="19597.0"/>
        <n v="19552.0"/>
        <n v="28545.0"/>
        <n v="27271.0"/>
        <n v="26503.0"/>
        <n v="26360.0"/>
        <n v="26315.0"/>
        <n v="26204.0"/>
        <n v="26146.0"/>
        <n v="24839.0"/>
        <n v="23819.0"/>
        <n v="23311.0"/>
        <n v="23261.0"/>
        <n v="23150.0"/>
        <n v="23074.0"/>
        <n v="23023.0"/>
        <n v="17430.0"/>
        <n v="16934.0"/>
        <n v="16649.0"/>
        <n v="16554.0"/>
        <n v="16477.0"/>
        <n v="16421.0"/>
        <n v="16376.0"/>
        <n v="16615.0"/>
        <n v="16118.0"/>
        <n v="15786.0"/>
        <n v="15672.0"/>
        <n v="15600.0"/>
        <n v="15540.0"/>
        <m/>
        <n v="22908.0"/>
        <n v="22026.0"/>
        <n v="21436.0"/>
        <n v="21223.0"/>
        <n v="21072.0"/>
        <n v="21433.0"/>
        <n v="20623.0"/>
        <n v="19982.0"/>
        <n v="19749.0"/>
        <n v="20698.0"/>
        <n v="19807.0"/>
        <n v="19039.0"/>
        <n v="19442.0"/>
        <n v="18441.0"/>
      </sharedItems>
    </cacheField>
    <cacheField name="cohort_size" numFmtId="0">
      <sharedItems containsSemiMixedTypes="0" containsString="0" containsNumber="1" containsInteger="1">
        <n v="2365.0"/>
        <n v="19374.0"/>
        <n v="16232.0"/>
        <n v="18167.0"/>
        <n v="20072.0"/>
        <n v="22034.0"/>
        <n v="28545.0"/>
        <n v="24839.0"/>
        <n v="17430.0"/>
        <n v="16615.0"/>
        <n v="22908.0"/>
        <n v="21433.0"/>
        <n v="20698.0"/>
        <n v="19442.0"/>
      </sharedItems>
    </cacheField>
    <cacheField name="retention_rate" numFmtId="0">
      <sharedItems containsString="0" containsBlank="1" containsNumber="1">
        <n v="1.0"/>
        <n v="0.923467230443974"/>
        <n v="0.901902748414376"/>
        <n v="0.890063424947145"/>
        <n v="0.882875264270613"/>
        <n v="0.878646934460887"/>
        <n v="0.94213894910705"/>
        <n v="0.900846495302983"/>
        <n v="0.882213275523898"/>
        <n v="0.87168369980386"/>
        <n v="0.861670279756374"/>
        <n v="0.852740786621245"/>
        <n v="0.944061113849186"/>
        <n v="0.897671266633809"/>
        <n v="0.882762444553967"/>
        <n v="0.872658945293248"/>
        <n v="0.861754558896007"/>
        <n v="0.855963528831936"/>
        <n v="0.943799196345021"/>
        <n v="0.904882479220564"/>
        <n v="0.887598392690042"/>
        <n v="0.875323388561677"/>
        <n v="0.866626300434854"/>
        <n v="0.864204326526118"/>
        <n v="0.947787963332004"/>
        <n v="0.91186727779992"/>
        <n v="0.895127540852929"/>
        <n v="0.885163411717815"/>
        <n v="0.882024711040255"/>
        <n v="0.88162614587485"/>
        <n v="0.948806390124353"/>
        <n v="0.909231188163746"/>
        <n v="0.894572025052192"/>
        <n v="0.891122810202414"/>
        <n v="0.889398202777525"/>
        <n v="0.887355904511209"/>
        <n v="0.955368716062357"/>
        <n v="0.928463829041863"/>
        <n v="0.923454195130495"/>
        <n v="0.921877736906638"/>
        <n v="0.917989139954457"/>
        <n v="0.915957260465931"/>
        <n v="0.958935544909215"/>
        <n v="0.938483835903216"/>
        <n v="0.936470872418374"/>
        <n v="0.932002093482024"/>
        <n v="0.928942388985063"/>
        <n v="0.926889166230524"/>
        <n v="0.971543316121629"/>
        <n v="0.955192197360872"/>
        <n v="0.949741824440619"/>
        <n v="0.945324153757888"/>
        <n v="0.942111302352266"/>
        <n v="0.939529546758462"/>
        <n v="0.970087270538669"/>
        <n v="0.950105326512187"/>
        <n v="0.943244056575383"/>
        <n v="0.938910622931086"/>
        <n v="0.935299428227505"/>
        <m/>
        <n v="0.96149816657936"/>
        <n v="0.93574297188755"/>
        <n v="0.926444910075082"/>
        <n v="0.919853326348873"/>
        <n v="0.962207810385853"/>
        <n v="0.932300657864041"/>
        <n v="0.921429571221947"/>
        <n v="0.956952362547106"/>
        <n v="0.919847328244274"/>
        <n v="0.948513527414875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4" cacheId="0" dataCaption="" rowGrandTotals="0" colGrandTotals="0" compact="0" compactData="0">
  <location ref="A1:H16" firstHeaderRow="0" firstDataRow="1" firstDataCol="1"/>
  <pivotFields>
    <pivotField name="cohort_week" axis="axisRow" compact="0" numFmtId="164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week_index" axis="axisCol" compact="0" outline="0" multipleItemSelectionAllowed="1" showAll="0" sortType="ascending">
      <items>
        <item x="0"/>
        <item x="1"/>
        <item x="2"/>
        <item x="3"/>
        <item x="4"/>
        <item x="5"/>
        <item x="6"/>
        <item t="default"/>
      </items>
    </pivotField>
    <pivotField name="active_user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cohort_siz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retention_r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</pivotFields>
  <rowFields>
    <field x="0"/>
  </rowFields>
  <colFields>
    <field x="1"/>
  </colFields>
  <dataFields>
    <dataField name="AVERAGE of active_users" fld="2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</row>
    <row r="2">
      <c r="A2" s="2">
        <v>44130.0</v>
      </c>
      <c r="B2" s="1">
        <v>0.0</v>
      </c>
      <c r="C2" s="1">
        <v>2365.0</v>
      </c>
      <c r="D2" s="1">
        <v>2365.0</v>
      </c>
      <c r="E2" s="1">
        <v>1.0</v>
      </c>
    </row>
    <row r="3">
      <c r="A3" s="2">
        <v>44130.0</v>
      </c>
      <c r="B3" s="1">
        <v>1.0</v>
      </c>
      <c r="C3" s="1">
        <v>2365.0</v>
      </c>
      <c r="D3" s="1">
        <v>2365.0</v>
      </c>
      <c r="E3" s="1">
        <v>1.0</v>
      </c>
    </row>
    <row r="4">
      <c r="A4" s="2">
        <v>44130.0</v>
      </c>
      <c r="B4" s="1">
        <v>2.0</v>
      </c>
      <c r="C4" s="1">
        <v>2184.0</v>
      </c>
      <c r="D4" s="1">
        <v>2365.0</v>
      </c>
      <c r="E4" s="1">
        <v>0.923467230443974</v>
      </c>
    </row>
    <row r="5">
      <c r="A5" s="2">
        <v>44130.0</v>
      </c>
      <c r="B5" s="1">
        <v>3.0</v>
      </c>
      <c r="C5" s="1">
        <v>2133.0</v>
      </c>
      <c r="D5" s="1">
        <v>2365.0</v>
      </c>
      <c r="E5" s="1">
        <v>0.901902748414376</v>
      </c>
    </row>
    <row r="6">
      <c r="A6" s="2">
        <v>44130.0</v>
      </c>
      <c r="B6" s="1">
        <v>4.0</v>
      </c>
      <c r="C6" s="1">
        <v>2105.0</v>
      </c>
      <c r="D6" s="1">
        <v>2365.0</v>
      </c>
      <c r="E6" s="1">
        <v>0.890063424947145</v>
      </c>
    </row>
    <row r="7">
      <c r="A7" s="2">
        <v>44130.0</v>
      </c>
      <c r="B7" s="1">
        <v>5.0</v>
      </c>
      <c r="C7" s="1">
        <v>2088.0</v>
      </c>
      <c r="D7" s="1">
        <v>2365.0</v>
      </c>
      <c r="E7" s="1">
        <v>0.882875264270613</v>
      </c>
    </row>
    <row r="8">
      <c r="A8" s="2">
        <v>44130.0</v>
      </c>
      <c r="B8" s="1">
        <v>6.0</v>
      </c>
      <c r="C8" s="1">
        <v>2078.0</v>
      </c>
      <c r="D8" s="1">
        <v>2365.0</v>
      </c>
      <c r="E8" s="1">
        <v>0.878646934460887</v>
      </c>
    </row>
    <row r="9">
      <c r="A9" s="2">
        <v>44137.0</v>
      </c>
      <c r="B9" s="1">
        <v>0.0</v>
      </c>
      <c r="C9" s="1">
        <v>19374.0</v>
      </c>
      <c r="D9" s="1">
        <v>19374.0</v>
      </c>
      <c r="E9" s="1">
        <v>1.0</v>
      </c>
    </row>
    <row r="10">
      <c r="A10" s="2">
        <v>44137.0</v>
      </c>
      <c r="B10" s="1">
        <v>1.0</v>
      </c>
      <c r="C10" s="1">
        <v>18253.0</v>
      </c>
      <c r="D10" s="1">
        <v>19374.0</v>
      </c>
      <c r="E10" s="1">
        <v>0.94213894910705</v>
      </c>
    </row>
    <row r="11">
      <c r="A11" s="2">
        <v>44137.0</v>
      </c>
      <c r="B11" s="1">
        <v>2.0</v>
      </c>
      <c r="C11" s="1">
        <v>17453.0</v>
      </c>
      <c r="D11" s="1">
        <v>19374.0</v>
      </c>
      <c r="E11" s="1">
        <v>0.900846495302983</v>
      </c>
    </row>
    <row r="12">
      <c r="A12" s="2">
        <v>44137.0</v>
      </c>
      <c r="B12" s="1">
        <v>3.0</v>
      </c>
      <c r="C12" s="1">
        <v>17092.0</v>
      </c>
      <c r="D12" s="1">
        <v>19374.0</v>
      </c>
      <c r="E12" s="1">
        <v>0.882213275523898</v>
      </c>
    </row>
    <row r="13">
      <c r="A13" s="2">
        <v>44137.0</v>
      </c>
      <c r="B13" s="1">
        <v>4.0</v>
      </c>
      <c r="C13" s="1">
        <v>16888.0</v>
      </c>
      <c r="D13" s="1">
        <v>19374.0</v>
      </c>
      <c r="E13" s="1">
        <v>0.87168369980386</v>
      </c>
    </row>
    <row r="14">
      <c r="A14" s="2">
        <v>44137.0</v>
      </c>
      <c r="B14" s="1">
        <v>5.0</v>
      </c>
      <c r="C14" s="1">
        <v>16694.0</v>
      </c>
      <c r="D14" s="1">
        <v>19374.0</v>
      </c>
      <c r="E14" s="1">
        <v>0.861670279756374</v>
      </c>
    </row>
    <row r="15">
      <c r="A15" s="2">
        <v>44137.0</v>
      </c>
      <c r="B15" s="1">
        <v>6.0</v>
      </c>
      <c r="C15" s="1">
        <v>16521.0</v>
      </c>
      <c r="D15" s="1">
        <v>19374.0</v>
      </c>
      <c r="E15" s="1">
        <v>0.852740786621245</v>
      </c>
    </row>
    <row r="16">
      <c r="A16" s="2">
        <v>44144.0</v>
      </c>
      <c r="B16" s="1">
        <v>0.0</v>
      </c>
      <c r="C16" s="1">
        <v>16232.0</v>
      </c>
      <c r="D16" s="1">
        <v>16232.0</v>
      </c>
      <c r="E16" s="1">
        <v>1.0</v>
      </c>
    </row>
    <row r="17">
      <c r="A17" s="2">
        <v>44144.0</v>
      </c>
      <c r="B17" s="1">
        <v>1.0</v>
      </c>
      <c r="C17" s="1">
        <v>15324.0</v>
      </c>
      <c r="D17" s="1">
        <v>16232.0</v>
      </c>
      <c r="E17" s="1">
        <v>0.944061113849186</v>
      </c>
    </row>
    <row r="18">
      <c r="A18" s="2">
        <v>44144.0</v>
      </c>
      <c r="B18" s="1">
        <v>2.0</v>
      </c>
      <c r="C18" s="1">
        <v>14571.0</v>
      </c>
      <c r="D18" s="1">
        <v>16232.0</v>
      </c>
      <c r="E18" s="1">
        <v>0.897671266633809</v>
      </c>
    </row>
    <row r="19">
      <c r="A19" s="2">
        <v>44144.0</v>
      </c>
      <c r="B19" s="1">
        <v>3.0</v>
      </c>
      <c r="C19" s="1">
        <v>14329.0</v>
      </c>
      <c r="D19" s="1">
        <v>16232.0</v>
      </c>
      <c r="E19" s="1">
        <v>0.882762444553967</v>
      </c>
    </row>
    <row r="20">
      <c r="A20" s="2">
        <v>44144.0</v>
      </c>
      <c r="B20" s="1">
        <v>4.0</v>
      </c>
      <c r="C20" s="1">
        <v>14165.0</v>
      </c>
      <c r="D20" s="1">
        <v>16232.0</v>
      </c>
      <c r="E20" s="1">
        <v>0.872658945293248</v>
      </c>
    </row>
    <row r="21">
      <c r="A21" s="2">
        <v>44144.0</v>
      </c>
      <c r="B21" s="1">
        <v>5.0</v>
      </c>
      <c r="C21" s="1">
        <v>13988.0</v>
      </c>
      <c r="D21" s="1">
        <v>16232.0</v>
      </c>
      <c r="E21" s="1">
        <v>0.861754558896007</v>
      </c>
    </row>
    <row r="22">
      <c r="A22" s="2">
        <v>44144.0</v>
      </c>
      <c r="B22" s="1">
        <v>6.0</v>
      </c>
      <c r="C22" s="1">
        <v>13894.0</v>
      </c>
      <c r="D22" s="1">
        <v>16232.0</v>
      </c>
      <c r="E22" s="1">
        <v>0.855963528831936</v>
      </c>
    </row>
    <row r="23">
      <c r="A23" s="2">
        <v>44151.0</v>
      </c>
      <c r="B23" s="1">
        <v>0.0</v>
      </c>
      <c r="C23" s="1">
        <v>18167.0</v>
      </c>
      <c r="D23" s="1">
        <v>18167.0</v>
      </c>
      <c r="E23" s="1">
        <v>1.0</v>
      </c>
    </row>
    <row r="24">
      <c r="A24" s="2">
        <v>44151.0</v>
      </c>
      <c r="B24" s="1">
        <v>1.0</v>
      </c>
      <c r="C24" s="1">
        <v>17146.0</v>
      </c>
      <c r="D24" s="1">
        <v>18167.0</v>
      </c>
      <c r="E24" s="1">
        <v>0.943799196345021</v>
      </c>
    </row>
    <row r="25">
      <c r="A25" s="2">
        <v>44151.0</v>
      </c>
      <c r="B25" s="1">
        <v>2.0</v>
      </c>
      <c r="C25" s="1">
        <v>16439.0</v>
      </c>
      <c r="D25" s="1">
        <v>18167.0</v>
      </c>
      <c r="E25" s="1">
        <v>0.904882479220564</v>
      </c>
    </row>
    <row r="26">
      <c r="A26" s="2">
        <v>44151.0</v>
      </c>
      <c r="B26" s="1">
        <v>3.0</v>
      </c>
      <c r="C26" s="1">
        <v>16125.0</v>
      </c>
      <c r="D26" s="1">
        <v>18167.0</v>
      </c>
      <c r="E26" s="1">
        <v>0.887598392690042</v>
      </c>
    </row>
    <row r="27">
      <c r="A27" s="2">
        <v>44151.0</v>
      </c>
      <c r="B27" s="1">
        <v>4.0</v>
      </c>
      <c r="C27" s="1">
        <v>15902.0</v>
      </c>
      <c r="D27" s="1">
        <v>18167.0</v>
      </c>
      <c r="E27" s="1">
        <v>0.875323388561677</v>
      </c>
    </row>
    <row r="28">
      <c r="A28" s="2">
        <v>44151.0</v>
      </c>
      <c r="B28" s="1">
        <v>5.0</v>
      </c>
      <c r="C28" s="1">
        <v>15744.0</v>
      </c>
      <c r="D28" s="1">
        <v>18167.0</v>
      </c>
      <c r="E28" s="1">
        <v>0.866626300434854</v>
      </c>
    </row>
    <row r="29">
      <c r="A29" s="2">
        <v>44151.0</v>
      </c>
      <c r="B29" s="1">
        <v>6.0</v>
      </c>
      <c r="C29" s="1">
        <v>15700.0</v>
      </c>
      <c r="D29" s="1">
        <v>18167.0</v>
      </c>
      <c r="E29" s="1">
        <v>0.864204326526118</v>
      </c>
    </row>
    <row r="30">
      <c r="A30" s="2">
        <v>44158.0</v>
      </c>
      <c r="B30" s="1">
        <v>0.0</v>
      </c>
      <c r="C30" s="1">
        <v>20072.0</v>
      </c>
      <c r="D30" s="1">
        <v>20072.0</v>
      </c>
      <c r="E30" s="1">
        <v>1.0</v>
      </c>
    </row>
    <row r="31">
      <c r="A31" s="2">
        <v>44158.0</v>
      </c>
      <c r="B31" s="1">
        <v>1.0</v>
      </c>
      <c r="C31" s="1">
        <v>19024.0</v>
      </c>
      <c r="D31" s="1">
        <v>20072.0</v>
      </c>
      <c r="E31" s="1">
        <v>0.947787963332004</v>
      </c>
    </row>
    <row r="32">
      <c r="A32" s="2">
        <v>44158.0</v>
      </c>
      <c r="B32" s="1">
        <v>2.0</v>
      </c>
      <c r="C32" s="1">
        <v>18303.0</v>
      </c>
      <c r="D32" s="1">
        <v>20072.0</v>
      </c>
      <c r="E32" s="1">
        <v>0.91186727779992</v>
      </c>
    </row>
    <row r="33">
      <c r="A33" s="2">
        <v>44158.0</v>
      </c>
      <c r="B33" s="1">
        <v>3.0</v>
      </c>
      <c r="C33" s="1">
        <v>17967.0</v>
      </c>
      <c r="D33" s="1">
        <v>20072.0</v>
      </c>
      <c r="E33" s="1">
        <v>0.895127540852929</v>
      </c>
    </row>
    <row r="34">
      <c r="A34" s="2">
        <v>44158.0</v>
      </c>
      <c r="B34" s="1">
        <v>4.0</v>
      </c>
      <c r="C34" s="1">
        <v>17767.0</v>
      </c>
      <c r="D34" s="1">
        <v>20072.0</v>
      </c>
      <c r="E34" s="1">
        <v>0.885163411717815</v>
      </c>
    </row>
    <row r="35">
      <c r="A35" s="2">
        <v>44158.0</v>
      </c>
      <c r="B35" s="1">
        <v>5.0</v>
      </c>
      <c r="C35" s="1">
        <v>17704.0</v>
      </c>
      <c r="D35" s="1">
        <v>20072.0</v>
      </c>
      <c r="E35" s="1">
        <v>0.882024711040255</v>
      </c>
    </row>
    <row r="36">
      <c r="A36" s="2">
        <v>44158.0</v>
      </c>
      <c r="B36" s="1">
        <v>6.0</v>
      </c>
      <c r="C36" s="1">
        <v>17696.0</v>
      </c>
      <c r="D36" s="1">
        <v>20072.0</v>
      </c>
      <c r="E36" s="1">
        <v>0.88162614587485</v>
      </c>
    </row>
    <row r="37">
      <c r="A37" s="2">
        <v>44165.0</v>
      </c>
      <c r="B37" s="1">
        <v>0.0</v>
      </c>
      <c r="C37" s="1">
        <v>22034.0</v>
      </c>
      <c r="D37" s="1">
        <v>22034.0</v>
      </c>
      <c r="E37" s="1">
        <v>1.0</v>
      </c>
    </row>
    <row r="38">
      <c r="A38" s="2">
        <v>44165.0</v>
      </c>
      <c r="B38" s="1">
        <v>1.0</v>
      </c>
      <c r="C38" s="1">
        <v>20906.0</v>
      </c>
      <c r="D38" s="1">
        <v>22034.0</v>
      </c>
      <c r="E38" s="1">
        <v>0.948806390124353</v>
      </c>
    </row>
    <row r="39">
      <c r="A39" s="2">
        <v>44165.0</v>
      </c>
      <c r="B39" s="1">
        <v>2.0</v>
      </c>
      <c r="C39" s="1">
        <v>20034.0</v>
      </c>
      <c r="D39" s="1">
        <v>22034.0</v>
      </c>
      <c r="E39" s="1">
        <v>0.909231188163746</v>
      </c>
    </row>
    <row r="40">
      <c r="A40" s="2">
        <v>44165.0</v>
      </c>
      <c r="B40" s="1">
        <v>3.0</v>
      </c>
      <c r="C40" s="1">
        <v>19711.0</v>
      </c>
      <c r="D40" s="1">
        <v>22034.0</v>
      </c>
      <c r="E40" s="1">
        <v>0.894572025052192</v>
      </c>
    </row>
    <row r="41">
      <c r="A41" s="2">
        <v>44165.0</v>
      </c>
      <c r="B41" s="1">
        <v>4.0</v>
      </c>
      <c r="C41" s="1">
        <v>19635.0</v>
      </c>
      <c r="D41" s="1">
        <v>22034.0</v>
      </c>
      <c r="E41" s="1">
        <v>0.891122810202414</v>
      </c>
    </row>
    <row r="42">
      <c r="A42" s="2">
        <v>44165.0</v>
      </c>
      <c r="B42" s="1">
        <v>5.0</v>
      </c>
      <c r="C42" s="1">
        <v>19597.0</v>
      </c>
      <c r="D42" s="1">
        <v>22034.0</v>
      </c>
      <c r="E42" s="1">
        <v>0.889398202777525</v>
      </c>
    </row>
    <row r="43">
      <c r="A43" s="2">
        <v>44165.0</v>
      </c>
      <c r="B43" s="1">
        <v>6.0</v>
      </c>
      <c r="C43" s="1">
        <v>19552.0</v>
      </c>
      <c r="D43" s="1">
        <v>22034.0</v>
      </c>
      <c r="E43" s="1">
        <v>0.887355904511209</v>
      </c>
    </row>
    <row r="44">
      <c r="A44" s="2">
        <v>44172.0</v>
      </c>
      <c r="B44" s="1">
        <v>0.0</v>
      </c>
      <c r="C44" s="1">
        <v>28545.0</v>
      </c>
      <c r="D44" s="1">
        <v>28545.0</v>
      </c>
      <c r="E44" s="1">
        <v>1.0</v>
      </c>
    </row>
    <row r="45">
      <c r="A45" s="2">
        <v>44172.0</v>
      </c>
      <c r="B45" s="1">
        <v>1.0</v>
      </c>
      <c r="C45" s="1">
        <v>27271.0</v>
      </c>
      <c r="D45" s="1">
        <v>28545.0</v>
      </c>
      <c r="E45" s="1">
        <v>0.955368716062357</v>
      </c>
    </row>
    <row r="46">
      <c r="A46" s="2">
        <v>44172.0</v>
      </c>
      <c r="B46" s="1">
        <v>2.0</v>
      </c>
      <c r="C46" s="1">
        <v>26503.0</v>
      </c>
      <c r="D46" s="1">
        <v>28545.0</v>
      </c>
      <c r="E46" s="1">
        <v>0.928463829041863</v>
      </c>
    </row>
    <row r="47">
      <c r="A47" s="2">
        <v>44172.0</v>
      </c>
      <c r="B47" s="1">
        <v>3.0</v>
      </c>
      <c r="C47" s="1">
        <v>26360.0</v>
      </c>
      <c r="D47" s="1">
        <v>28545.0</v>
      </c>
      <c r="E47" s="1">
        <v>0.923454195130495</v>
      </c>
    </row>
    <row r="48">
      <c r="A48" s="2">
        <v>44172.0</v>
      </c>
      <c r="B48" s="1">
        <v>4.0</v>
      </c>
      <c r="C48" s="1">
        <v>26315.0</v>
      </c>
      <c r="D48" s="1">
        <v>28545.0</v>
      </c>
      <c r="E48" s="1">
        <v>0.921877736906638</v>
      </c>
    </row>
    <row r="49">
      <c r="A49" s="2">
        <v>44172.0</v>
      </c>
      <c r="B49" s="1">
        <v>5.0</v>
      </c>
      <c r="C49" s="1">
        <v>26204.0</v>
      </c>
      <c r="D49" s="1">
        <v>28545.0</v>
      </c>
      <c r="E49" s="1">
        <v>0.917989139954457</v>
      </c>
    </row>
    <row r="50">
      <c r="A50" s="2">
        <v>44172.0</v>
      </c>
      <c r="B50" s="1">
        <v>6.0</v>
      </c>
      <c r="C50" s="1">
        <v>26146.0</v>
      </c>
      <c r="D50" s="1">
        <v>28545.0</v>
      </c>
      <c r="E50" s="1">
        <v>0.915957260465931</v>
      </c>
    </row>
    <row r="51">
      <c r="A51" s="2">
        <v>44179.0</v>
      </c>
      <c r="B51" s="1">
        <v>0.0</v>
      </c>
      <c r="C51" s="1">
        <v>24839.0</v>
      </c>
      <c r="D51" s="1">
        <v>24839.0</v>
      </c>
      <c r="E51" s="1">
        <v>1.0</v>
      </c>
    </row>
    <row r="52">
      <c r="A52" s="2">
        <v>44179.0</v>
      </c>
      <c r="B52" s="1">
        <v>1.0</v>
      </c>
      <c r="C52" s="1">
        <v>23819.0</v>
      </c>
      <c r="D52" s="1">
        <v>24839.0</v>
      </c>
      <c r="E52" s="1">
        <v>0.958935544909215</v>
      </c>
    </row>
    <row r="53">
      <c r="A53" s="2">
        <v>44179.0</v>
      </c>
      <c r="B53" s="1">
        <v>2.0</v>
      </c>
      <c r="C53" s="1">
        <v>23311.0</v>
      </c>
      <c r="D53" s="1">
        <v>24839.0</v>
      </c>
      <c r="E53" s="1">
        <v>0.938483835903216</v>
      </c>
    </row>
    <row r="54">
      <c r="A54" s="2">
        <v>44179.0</v>
      </c>
      <c r="B54" s="1">
        <v>3.0</v>
      </c>
      <c r="C54" s="1">
        <v>23261.0</v>
      </c>
      <c r="D54" s="1">
        <v>24839.0</v>
      </c>
      <c r="E54" s="1">
        <v>0.936470872418374</v>
      </c>
    </row>
    <row r="55">
      <c r="A55" s="2">
        <v>44179.0</v>
      </c>
      <c r="B55" s="1">
        <v>4.0</v>
      </c>
      <c r="C55" s="1">
        <v>23150.0</v>
      </c>
      <c r="D55" s="1">
        <v>24839.0</v>
      </c>
      <c r="E55" s="1">
        <v>0.932002093482024</v>
      </c>
    </row>
    <row r="56">
      <c r="A56" s="2">
        <v>44179.0</v>
      </c>
      <c r="B56" s="1">
        <v>5.0</v>
      </c>
      <c r="C56" s="1">
        <v>23074.0</v>
      </c>
      <c r="D56" s="1">
        <v>24839.0</v>
      </c>
      <c r="E56" s="1">
        <v>0.928942388985063</v>
      </c>
    </row>
    <row r="57">
      <c r="A57" s="2">
        <v>44179.0</v>
      </c>
      <c r="B57" s="1">
        <v>6.0</v>
      </c>
      <c r="C57" s="1">
        <v>23023.0</v>
      </c>
      <c r="D57" s="1">
        <v>24839.0</v>
      </c>
      <c r="E57" s="1">
        <v>0.926889166230524</v>
      </c>
    </row>
    <row r="58">
      <c r="A58" s="2">
        <v>44186.0</v>
      </c>
      <c r="B58" s="1">
        <v>0.0</v>
      </c>
      <c r="C58" s="1">
        <v>17430.0</v>
      </c>
      <c r="D58" s="1">
        <v>17430.0</v>
      </c>
      <c r="E58" s="1">
        <v>1.0</v>
      </c>
    </row>
    <row r="59">
      <c r="A59" s="2">
        <v>44186.0</v>
      </c>
      <c r="B59" s="1">
        <v>1.0</v>
      </c>
      <c r="C59" s="1">
        <v>16934.0</v>
      </c>
      <c r="D59" s="1">
        <v>17430.0</v>
      </c>
      <c r="E59" s="1">
        <v>0.971543316121629</v>
      </c>
    </row>
    <row r="60">
      <c r="A60" s="2">
        <v>44186.0</v>
      </c>
      <c r="B60" s="1">
        <v>2.0</v>
      </c>
      <c r="C60" s="1">
        <v>16649.0</v>
      </c>
      <c r="D60" s="1">
        <v>17430.0</v>
      </c>
      <c r="E60" s="1">
        <v>0.955192197360872</v>
      </c>
    </row>
    <row r="61">
      <c r="A61" s="2">
        <v>44186.0</v>
      </c>
      <c r="B61" s="1">
        <v>3.0</v>
      </c>
      <c r="C61" s="1">
        <v>16554.0</v>
      </c>
      <c r="D61" s="1">
        <v>17430.0</v>
      </c>
      <c r="E61" s="1">
        <v>0.949741824440619</v>
      </c>
    </row>
    <row r="62">
      <c r="A62" s="2">
        <v>44186.0</v>
      </c>
      <c r="B62" s="1">
        <v>4.0</v>
      </c>
      <c r="C62" s="1">
        <v>16477.0</v>
      </c>
      <c r="D62" s="1">
        <v>17430.0</v>
      </c>
      <c r="E62" s="1">
        <v>0.945324153757888</v>
      </c>
    </row>
    <row r="63">
      <c r="A63" s="2">
        <v>44186.0</v>
      </c>
      <c r="B63" s="1">
        <v>5.0</v>
      </c>
      <c r="C63" s="1">
        <v>16421.0</v>
      </c>
      <c r="D63" s="1">
        <v>17430.0</v>
      </c>
      <c r="E63" s="1">
        <v>0.942111302352266</v>
      </c>
    </row>
    <row r="64">
      <c r="A64" s="2">
        <v>44186.0</v>
      </c>
      <c r="B64" s="1">
        <v>6.0</v>
      </c>
      <c r="C64" s="1">
        <v>16376.0</v>
      </c>
      <c r="D64" s="1">
        <v>17430.0</v>
      </c>
      <c r="E64" s="1">
        <v>0.939529546758462</v>
      </c>
    </row>
    <row r="65">
      <c r="A65" s="2">
        <v>44193.0</v>
      </c>
      <c r="B65" s="1">
        <v>0.0</v>
      </c>
      <c r="C65" s="1">
        <v>16615.0</v>
      </c>
      <c r="D65" s="1">
        <v>16615.0</v>
      </c>
      <c r="E65" s="1">
        <v>1.0</v>
      </c>
    </row>
    <row r="66">
      <c r="A66" s="2">
        <v>44193.0</v>
      </c>
      <c r="B66" s="1">
        <v>1.0</v>
      </c>
      <c r="C66" s="1">
        <v>16118.0</v>
      </c>
      <c r="D66" s="1">
        <v>16615.0</v>
      </c>
      <c r="E66" s="1">
        <v>0.970087270538669</v>
      </c>
    </row>
    <row r="67">
      <c r="A67" s="2">
        <v>44193.0</v>
      </c>
      <c r="B67" s="1">
        <v>2.0</v>
      </c>
      <c r="C67" s="1">
        <v>15786.0</v>
      </c>
      <c r="D67" s="1">
        <v>16615.0</v>
      </c>
      <c r="E67" s="1">
        <v>0.950105326512187</v>
      </c>
    </row>
    <row r="68">
      <c r="A68" s="2">
        <v>44193.0</v>
      </c>
      <c r="B68" s="1">
        <v>3.0</v>
      </c>
      <c r="C68" s="1">
        <v>15672.0</v>
      </c>
      <c r="D68" s="1">
        <v>16615.0</v>
      </c>
      <c r="E68" s="1">
        <v>0.943244056575383</v>
      </c>
    </row>
    <row r="69">
      <c r="A69" s="2">
        <v>44193.0</v>
      </c>
      <c r="B69" s="1">
        <v>4.0</v>
      </c>
      <c r="C69" s="1">
        <v>15600.0</v>
      </c>
      <c r="D69" s="1">
        <v>16615.0</v>
      </c>
      <c r="E69" s="1">
        <v>0.938910622931086</v>
      </c>
    </row>
    <row r="70">
      <c r="A70" s="2">
        <v>44193.0</v>
      </c>
      <c r="B70" s="1">
        <v>5.0</v>
      </c>
      <c r="C70" s="1">
        <v>15540.0</v>
      </c>
      <c r="D70" s="1">
        <v>16615.0</v>
      </c>
      <c r="E70" s="1">
        <v>0.935299428227505</v>
      </c>
    </row>
    <row r="71" hidden="1">
      <c r="A71" s="2">
        <v>44193.0</v>
      </c>
      <c r="B71" s="1">
        <v>6.0</v>
      </c>
      <c r="D71" s="1">
        <v>16615.0</v>
      </c>
    </row>
    <row r="72">
      <c r="A72" s="2">
        <v>44200.0</v>
      </c>
      <c r="B72" s="1">
        <v>0.0</v>
      </c>
      <c r="C72" s="1">
        <v>22908.0</v>
      </c>
      <c r="D72" s="1">
        <v>22908.0</v>
      </c>
      <c r="E72" s="1">
        <v>1.0</v>
      </c>
    </row>
    <row r="73">
      <c r="A73" s="2">
        <v>44200.0</v>
      </c>
      <c r="B73" s="1">
        <v>1.0</v>
      </c>
      <c r="C73" s="1">
        <v>22026.0</v>
      </c>
      <c r="D73" s="1">
        <v>22908.0</v>
      </c>
      <c r="E73" s="1">
        <v>0.96149816657936</v>
      </c>
    </row>
    <row r="74">
      <c r="A74" s="2">
        <v>44200.0</v>
      </c>
      <c r="B74" s="1">
        <v>2.0</v>
      </c>
      <c r="C74" s="1">
        <v>21436.0</v>
      </c>
      <c r="D74" s="1">
        <v>22908.0</v>
      </c>
      <c r="E74" s="1">
        <v>0.93574297188755</v>
      </c>
    </row>
    <row r="75">
      <c r="A75" s="2">
        <v>44200.0</v>
      </c>
      <c r="B75" s="1">
        <v>3.0</v>
      </c>
      <c r="C75" s="1">
        <v>21223.0</v>
      </c>
      <c r="D75" s="1">
        <v>22908.0</v>
      </c>
      <c r="E75" s="1">
        <v>0.926444910075082</v>
      </c>
    </row>
    <row r="76">
      <c r="A76" s="2">
        <v>44200.0</v>
      </c>
      <c r="B76" s="1">
        <v>4.0</v>
      </c>
      <c r="C76" s="1">
        <v>21072.0</v>
      </c>
      <c r="D76" s="1">
        <v>22908.0</v>
      </c>
      <c r="E76" s="1">
        <v>0.919853326348873</v>
      </c>
    </row>
    <row r="77" hidden="1">
      <c r="A77" s="2">
        <v>44200.0</v>
      </c>
      <c r="B77" s="1">
        <v>5.0</v>
      </c>
      <c r="D77" s="1">
        <v>22908.0</v>
      </c>
    </row>
    <row r="78" hidden="1">
      <c r="A78" s="2">
        <v>44200.0</v>
      </c>
      <c r="B78" s="1">
        <v>6.0</v>
      </c>
      <c r="D78" s="1">
        <v>22908.0</v>
      </c>
    </row>
    <row r="79">
      <c r="A79" s="2">
        <v>44207.0</v>
      </c>
      <c r="B79" s="1">
        <v>0.0</v>
      </c>
      <c r="C79" s="1">
        <v>21433.0</v>
      </c>
      <c r="D79" s="1">
        <v>21433.0</v>
      </c>
      <c r="E79" s="1">
        <v>1.0</v>
      </c>
    </row>
    <row r="80">
      <c r="A80" s="2">
        <v>44207.0</v>
      </c>
      <c r="B80" s="1">
        <v>1.0</v>
      </c>
      <c r="C80" s="1">
        <v>20623.0</v>
      </c>
      <c r="D80" s="1">
        <v>21433.0</v>
      </c>
      <c r="E80" s="1">
        <v>0.962207810385853</v>
      </c>
    </row>
    <row r="81">
      <c r="A81" s="2">
        <v>44207.0</v>
      </c>
      <c r="B81" s="1">
        <v>2.0</v>
      </c>
      <c r="C81" s="1">
        <v>19982.0</v>
      </c>
      <c r="D81" s="1">
        <v>21433.0</v>
      </c>
      <c r="E81" s="1">
        <v>0.932300657864041</v>
      </c>
    </row>
    <row r="82">
      <c r="A82" s="2">
        <v>44207.0</v>
      </c>
      <c r="B82" s="1">
        <v>3.0</v>
      </c>
      <c r="C82" s="1">
        <v>19749.0</v>
      </c>
      <c r="D82" s="1">
        <v>21433.0</v>
      </c>
      <c r="E82" s="1">
        <v>0.921429571221947</v>
      </c>
    </row>
    <row r="83" hidden="1">
      <c r="A83" s="2">
        <v>44207.0</v>
      </c>
      <c r="B83" s="1">
        <v>4.0</v>
      </c>
      <c r="D83" s="1">
        <v>21433.0</v>
      </c>
    </row>
    <row r="84" hidden="1">
      <c r="A84" s="2">
        <v>44207.0</v>
      </c>
      <c r="B84" s="1">
        <v>5.0</v>
      </c>
      <c r="D84" s="1">
        <v>21433.0</v>
      </c>
    </row>
    <row r="85" hidden="1">
      <c r="A85" s="2">
        <v>44207.0</v>
      </c>
      <c r="B85" s="1">
        <v>6.0</v>
      </c>
      <c r="D85" s="1">
        <v>21433.0</v>
      </c>
    </row>
    <row r="86">
      <c r="A86" s="2">
        <v>44214.0</v>
      </c>
      <c r="B86" s="1">
        <v>0.0</v>
      </c>
      <c r="C86" s="1">
        <v>20698.0</v>
      </c>
      <c r="D86" s="1">
        <v>20698.0</v>
      </c>
      <c r="E86" s="1">
        <v>1.0</v>
      </c>
    </row>
    <row r="87">
      <c r="A87" s="2">
        <v>44214.0</v>
      </c>
      <c r="B87" s="1">
        <v>1.0</v>
      </c>
      <c r="C87" s="1">
        <v>19807.0</v>
      </c>
      <c r="D87" s="1">
        <v>20698.0</v>
      </c>
      <c r="E87" s="1">
        <v>0.956952362547106</v>
      </c>
    </row>
    <row r="88">
      <c r="A88" s="2">
        <v>44214.0</v>
      </c>
      <c r="B88" s="1">
        <v>2.0</v>
      </c>
      <c r="C88" s="1">
        <v>19039.0</v>
      </c>
      <c r="D88" s="1">
        <v>20698.0</v>
      </c>
      <c r="E88" s="1">
        <v>0.919847328244274</v>
      </c>
    </row>
    <row r="89" hidden="1">
      <c r="A89" s="2">
        <v>44214.0</v>
      </c>
      <c r="B89" s="1">
        <v>3.0</v>
      </c>
      <c r="D89" s="1">
        <v>20698.0</v>
      </c>
    </row>
    <row r="90" hidden="1">
      <c r="A90" s="2">
        <v>44214.0</v>
      </c>
      <c r="B90" s="1">
        <v>4.0</v>
      </c>
      <c r="D90" s="1">
        <v>20698.0</v>
      </c>
    </row>
    <row r="91" hidden="1">
      <c r="A91" s="2">
        <v>44214.0</v>
      </c>
      <c r="B91" s="1">
        <v>5.0</v>
      </c>
      <c r="D91" s="1">
        <v>20698.0</v>
      </c>
    </row>
    <row r="92" hidden="1">
      <c r="A92" s="2">
        <v>44214.0</v>
      </c>
      <c r="B92" s="1">
        <v>6.0</v>
      </c>
      <c r="D92" s="1">
        <v>20698.0</v>
      </c>
    </row>
    <row r="93">
      <c r="A93" s="2">
        <v>44221.0</v>
      </c>
      <c r="B93" s="1">
        <v>0.0</v>
      </c>
      <c r="C93" s="1">
        <v>19442.0</v>
      </c>
      <c r="D93" s="1">
        <v>19442.0</v>
      </c>
      <c r="E93" s="1">
        <v>1.0</v>
      </c>
    </row>
    <row r="94">
      <c r="A94" s="2">
        <v>44221.0</v>
      </c>
      <c r="B94" s="1">
        <v>1.0</v>
      </c>
      <c r="C94" s="1">
        <v>18441.0</v>
      </c>
      <c r="D94" s="1">
        <v>19442.0</v>
      </c>
      <c r="E94" s="1">
        <v>0.948513527414875</v>
      </c>
    </row>
    <row r="95" hidden="1">
      <c r="A95" s="2">
        <v>44221.0</v>
      </c>
      <c r="B95" s="1">
        <v>2.0</v>
      </c>
      <c r="D95" s="1">
        <v>19442.0</v>
      </c>
    </row>
    <row r="96" hidden="1">
      <c r="A96" s="2">
        <v>44221.0</v>
      </c>
      <c r="B96" s="1">
        <v>3.0</v>
      </c>
      <c r="D96" s="1">
        <v>19442.0</v>
      </c>
    </row>
    <row r="97" hidden="1">
      <c r="A97" s="2">
        <v>44221.0</v>
      </c>
      <c r="B97" s="1">
        <v>4.0</v>
      </c>
      <c r="D97" s="1">
        <v>19442.0</v>
      </c>
    </row>
    <row r="98" hidden="1">
      <c r="A98" s="2">
        <v>44221.0</v>
      </c>
      <c r="B98" s="1">
        <v>5.0</v>
      </c>
      <c r="D98" s="1">
        <v>19442.0</v>
      </c>
    </row>
    <row r="99" hidden="1">
      <c r="A99" s="2">
        <v>44221.0</v>
      </c>
      <c r="B99" s="1">
        <v>6.0</v>
      </c>
      <c r="D99" s="1">
        <v>19442.0</v>
      </c>
    </row>
    <row r="100" hidden="1">
      <c r="A100" s="2"/>
    </row>
    <row r="101" hidden="1">
      <c r="A101" s="2"/>
    </row>
    <row r="102" hidden="1">
      <c r="A102" s="2"/>
    </row>
    <row r="103" hidden="1">
      <c r="A103" s="2"/>
    </row>
    <row r="104" hidden="1">
      <c r="A104" s="2"/>
    </row>
    <row r="105" hidden="1">
      <c r="A105" s="2"/>
    </row>
    <row r="106" hidden="1">
      <c r="A106" s="2"/>
    </row>
    <row r="107" hidden="1">
      <c r="A107" s="2"/>
    </row>
    <row r="108" hidden="1">
      <c r="A108" s="2"/>
    </row>
    <row r="109" hidden="1">
      <c r="A109" s="2"/>
    </row>
    <row r="110" hidden="1">
      <c r="A110" s="2"/>
    </row>
    <row r="111" hidden="1">
      <c r="A111" s="2"/>
    </row>
    <row r="112" hidden="1">
      <c r="A112" s="2"/>
    </row>
    <row r="113" hidden="1">
      <c r="A113" s="2"/>
    </row>
    <row r="114" hidden="1">
      <c r="A114" s="2"/>
    </row>
    <row r="115" hidden="1">
      <c r="A115" s="2"/>
    </row>
    <row r="116" hidden="1">
      <c r="A116" s="2"/>
    </row>
    <row r="117" hidden="1">
      <c r="A117" s="2"/>
    </row>
    <row r="118" hidden="1">
      <c r="A118" s="2"/>
    </row>
    <row r="119" hidden="1">
      <c r="A119" s="2"/>
    </row>
    <row r="120" hidden="1">
      <c r="A120" s="2"/>
    </row>
    <row r="121" hidden="1">
      <c r="A121" s="2"/>
    </row>
    <row r="122" hidden="1">
      <c r="A122" s="2"/>
    </row>
    <row r="123" hidden="1">
      <c r="A123" s="2"/>
    </row>
    <row r="124" hidden="1">
      <c r="A124" s="2"/>
    </row>
    <row r="125" hidden="1">
      <c r="A125" s="2"/>
    </row>
    <row r="126" hidden="1">
      <c r="A126" s="2"/>
    </row>
    <row r="127" hidden="1">
      <c r="A127" s="2"/>
    </row>
    <row r="128" hidden="1">
      <c r="A128" s="2"/>
    </row>
    <row r="129" hidden="1">
      <c r="A129" s="2"/>
    </row>
    <row r="130" hidden="1">
      <c r="A130" s="2"/>
    </row>
    <row r="131" hidden="1">
      <c r="A131" s="2"/>
    </row>
    <row r="132" hidden="1">
      <c r="A132" s="2"/>
    </row>
    <row r="133" hidden="1">
      <c r="A133" s="2"/>
    </row>
    <row r="134" hidden="1">
      <c r="A134" s="2"/>
    </row>
    <row r="135" hidden="1">
      <c r="A135" s="2"/>
    </row>
    <row r="136" hidden="1">
      <c r="A136" s="2"/>
    </row>
    <row r="137" hidden="1">
      <c r="A137" s="2"/>
    </row>
    <row r="138" hidden="1">
      <c r="A138" s="2"/>
    </row>
    <row r="139" hidden="1">
      <c r="A139" s="2"/>
    </row>
    <row r="140" hidden="1">
      <c r="A140" s="2"/>
    </row>
    <row r="141" hidden="1">
      <c r="A141" s="2"/>
    </row>
    <row r="142" hidden="1">
      <c r="A142" s="2"/>
    </row>
    <row r="143" hidden="1">
      <c r="A143" s="2"/>
    </row>
    <row r="144" hidden="1">
      <c r="A144" s="2"/>
    </row>
    <row r="145" hidden="1">
      <c r="A145" s="2"/>
    </row>
    <row r="146" hidden="1">
      <c r="A146" s="2"/>
    </row>
    <row r="147" hidden="1">
      <c r="A147" s="2"/>
    </row>
    <row r="148" hidden="1">
      <c r="A148" s="2"/>
    </row>
    <row r="149" hidden="1">
      <c r="A149" s="2"/>
    </row>
    <row r="150" hidden="1">
      <c r="A150" s="2"/>
    </row>
    <row r="151" hidden="1">
      <c r="A151" s="2"/>
    </row>
    <row r="152" hidden="1">
      <c r="A152" s="2"/>
    </row>
    <row r="153" hidden="1">
      <c r="A153" s="2"/>
    </row>
    <row r="154" hidden="1">
      <c r="A154" s="2"/>
    </row>
    <row r="155" hidden="1">
      <c r="A155" s="2"/>
    </row>
    <row r="156" hidden="1">
      <c r="A156" s="2"/>
    </row>
    <row r="157" hidden="1">
      <c r="A157" s="2"/>
    </row>
    <row r="158" hidden="1">
      <c r="A158" s="2"/>
    </row>
    <row r="159" hidden="1">
      <c r="A159" s="2"/>
    </row>
    <row r="160" hidden="1">
      <c r="A160" s="2"/>
    </row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autoFilter ref="$A$1:$Z$1000">
    <filterColumn colId="4">
      <filters>
        <filter val="0.91798914"/>
        <filter val="0.9715433161"/>
        <filter val="0.9477879633"/>
        <filter val="0.8726589453"/>
        <filter val="0.9421113024"/>
        <filter val="0.9384838359"/>
        <filter val="0.9214295712"/>
        <filter val="0.8851634117"/>
        <filter val="0.8911228102"/>
        <filter val="0.9432440566"/>
        <filter val="0.9323006579"/>
        <filter val="0.9421389491"/>
        <filter val="0.8900634249"/>
        <filter val="0.8951275409"/>
        <filter val="0.8753233886"/>
        <filter val="0.9501053265"/>
        <filter val="0.8827624446"/>
        <filter val="0.9395295468"/>
        <filter val="0.9700872705"/>
        <filter val="0.9198473282"/>
        <filter val="0.8642043265"/>
        <filter val="0.8559635288"/>
        <filter val="0.9440611138"/>
        <filter val="0.9485135274"/>
        <filter val="0.9092311882"/>
        <filter val="1"/>
        <filter val="0.9118672778"/>
        <filter val="0.8716836998"/>
        <filter val="0.9553687161"/>
        <filter val="0.9622078104"/>
        <filter val="0.8976712666"/>
        <filter val="0.9234541951"/>
        <filter val="0.9389106229"/>
        <filter val="0.8617545589"/>
        <filter val="0.9614981666"/>
        <filter val="0.928942389"/>
        <filter val="0.9268891662"/>
        <filter val="0.8828752643"/>
        <filter val="0.9488063901"/>
        <filter val="0.8875983927"/>
        <filter val="0.9320020935"/>
        <filter val="0.8816261459"/>
        <filter val="0.8527407866"/>
        <filter val="0.8786469345"/>
        <filter val="0.9569523625"/>
        <filter val="0.8893982028"/>
        <filter val="0.928463829"/>
        <filter val="0.9589355449"/>
        <filter val="0.882024711"/>
        <filter val="0.9198533263"/>
        <filter val="0.8822132755"/>
        <filter val="0.9551921974"/>
        <filter val="0.9497418244"/>
        <filter val="0.9453241538"/>
        <filter val="0.9019027484"/>
        <filter val="0.9218777369"/>
        <filter val="0.9159572605"/>
        <filter val="0.9364708724"/>
        <filter val="0.9357429719"/>
        <filter val="0.8945720251"/>
        <filter val="0.9352994282"/>
        <filter val="0.8873559045"/>
        <filter val="0.9048824792"/>
        <filter val="0.8616702798"/>
        <filter val="0.9008464953"/>
        <filter val="0.9437991963"/>
        <filter val="0.8666263004"/>
        <filter val="0.9264449101"/>
        <filter val="0.9234672304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</sheetData>
  <conditionalFormatting sqref="A1:H16">
    <cfRule type="expression" dxfId="0" priority="1">
      <formula>IF(ISERROR(B2), "", B2)</formula>
    </cfRule>
  </conditionalFormatting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</cols>
  <sheetData>
    <row r="1">
      <c r="A1" s="3" t="str">
        <f>IFERROR('Pivot Table 4'!A1, "")</f>
        <v>AVERAGE of active_users</v>
      </c>
      <c r="B1" s="3" t="str">
        <f>IFERROR('Pivot Table 4'!B1, "")</f>
        <v>week_index</v>
      </c>
      <c r="C1" s="4" t="str">
        <f>IFERROR('Pivot Table 4'!C1, "")</f>
        <v/>
      </c>
      <c r="D1" s="4" t="str">
        <f>IFERROR('Pivot Table 4'!D1, "")</f>
        <v/>
      </c>
      <c r="E1" s="4" t="str">
        <f>IFERROR('Pivot Table 4'!E1, "")</f>
        <v/>
      </c>
      <c r="F1" s="4" t="str">
        <f>IFERROR('Pivot Table 4'!F1, "")</f>
        <v/>
      </c>
      <c r="G1" s="4" t="str">
        <f>IFERROR('Pivot Table 4'!G1, "")</f>
        <v/>
      </c>
      <c r="H1" s="4" t="str">
        <f>IFERROR('Pivot Table 4'!H1, "")</f>
        <v/>
      </c>
    </row>
    <row r="2">
      <c r="A2" s="3" t="str">
        <f>IFERROR('Pivot Table 4'!A2, "")</f>
        <v>cohort_week</v>
      </c>
      <c r="B2" s="3">
        <f>IFERROR('Pivot Table 4'!B2, "")</f>
        <v>0</v>
      </c>
      <c r="C2" s="3">
        <f>IFERROR('Pivot Table 4'!C2, "")</f>
        <v>1</v>
      </c>
      <c r="D2" s="3">
        <f>IFERROR('Pivot Table 4'!D2, "")</f>
        <v>2</v>
      </c>
      <c r="E2" s="3">
        <f>IFERROR('Pivot Table 4'!E2, "")</f>
        <v>3</v>
      </c>
      <c r="F2" s="3">
        <f>IFERROR('Pivot Table 4'!F2, "")</f>
        <v>4</v>
      </c>
      <c r="G2" s="3">
        <f>IFERROR('Pivot Table 4'!G2, "")</f>
        <v>5</v>
      </c>
      <c r="H2" s="3">
        <f>IFERROR('Pivot Table 4'!H2, "")</f>
        <v>6</v>
      </c>
    </row>
    <row r="3">
      <c r="A3" s="7">
        <f>IFERROR('Pivot Table 4'!A3, "")</f>
        <v>44130</v>
      </c>
      <c r="B3" s="4">
        <f>IFERROR('Pivot Table 4'!B3, "")</f>
        <v>2365</v>
      </c>
      <c r="C3" s="4">
        <f>IFERROR('Pivot Table 4'!C3, "")</f>
        <v>2365</v>
      </c>
      <c r="D3" s="4">
        <f>IFERROR('Pivot Table 4'!D3, "")</f>
        <v>2184</v>
      </c>
      <c r="E3" s="4">
        <f>IFERROR('Pivot Table 4'!E3, "")</f>
        <v>2133</v>
      </c>
      <c r="F3" s="4">
        <f>IFERROR('Pivot Table 4'!F3, "")</f>
        <v>2105</v>
      </c>
      <c r="G3" s="4">
        <f>IFERROR('Pivot Table 4'!G3, "")</f>
        <v>2088</v>
      </c>
      <c r="H3" s="4">
        <f>IFERROR('Pivot Table 4'!H3, "")</f>
        <v>2078</v>
      </c>
    </row>
    <row r="4">
      <c r="A4" s="7">
        <f>IFERROR('Pivot Table 4'!A4, "")</f>
        <v>44137</v>
      </c>
      <c r="B4" s="4">
        <f>IFERROR('Pivot Table 4'!B4, "")</f>
        <v>19374</v>
      </c>
      <c r="C4" s="4">
        <f>IFERROR('Pivot Table 4'!C4, "")</f>
        <v>18253</v>
      </c>
      <c r="D4" s="4">
        <f>IFERROR('Pivot Table 4'!D4, "")</f>
        <v>17453</v>
      </c>
      <c r="E4" s="4">
        <f>IFERROR('Pivot Table 4'!E4, "")</f>
        <v>17092</v>
      </c>
      <c r="F4" s="4">
        <f>IFERROR('Pivot Table 4'!F4, "")</f>
        <v>16888</v>
      </c>
      <c r="G4" s="4">
        <f>IFERROR('Pivot Table 4'!G4, "")</f>
        <v>16694</v>
      </c>
      <c r="H4" s="4">
        <f>IFERROR('Pivot Table 4'!H4, "")</f>
        <v>16521</v>
      </c>
    </row>
    <row r="5">
      <c r="A5" s="7">
        <f>IFERROR('Pivot Table 4'!A5, "")</f>
        <v>44144</v>
      </c>
      <c r="B5" s="4">
        <f>IFERROR('Pivot Table 4'!B5, "")</f>
        <v>16232</v>
      </c>
      <c r="C5" s="4">
        <f>IFERROR('Pivot Table 4'!C5, "")</f>
        <v>15324</v>
      </c>
      <c r="D5" s="4">
        <f>IFERROR('Pivot Table 4'!D5, "")</f>
        <v>14571</v>
      </c>
      <c r="E5" s="4">
        <f>IFERROR('Pivot Table 4'!E5, "")</f>
        <v>14329</v>
      </c>
      <c r="F5" s="4">
        <f>IFERROR('Pivot Table 4'!F5, "")</f>
        <v>14165</v>
      </c>
      <c r="G5" s="4">
        <f>IFERROR('Pivot Table 4'!G5, "")</f>
        <v>13988</v>
      </c>
      <c r="H5" s="4">
        <f>IFERROR('Pivot Table 4'!H5, "")</f>
        <v>13894</v>
      </c>
    </row>
    <row r="6">
      <c r="A6" s="7">
        <f>IFERROR('Pivot Table 4'!A6, "")</f>
        <v>44151</v>
      </c>
      <c r="B6" s="4">
        <f>IFERROR('Pivot Table 4'!B6, "")</f>
        <v>18167</v>
      </c>
      <c r="C6" s="4">
        <f>IFERROR('Pivot Table 4'!C6, "")</f>
        <v>17146</v>
      </c>
      <c r="D6" s="4">
        <f>IFERROR('Pivot Table 4'!D6, "")</f>
        <v>16439</v>
      </c>
      <c r="E6" s="4">
        <f>IFERROR('Pivot Table 4'!E6, "")</f>
        <v>16125</v>
      </c>
      <c r="F6" s="4">
        <f>IFERROR('Pivot Table 4'!F6, "")</f>
        <v>15902</v>
      </c>
      <c r="G6" s="4">
        <f>IFERROR('Pivot Table 4'!G6, "")</f>
        <v>15744</v>
      </c>
      <c r="H6" s="4">
        <f>IFERROR('Pivot Table 4'!H6, "")</f>
        <v>15700</v>
      </c>
    </row>
    <row r="7">
      <c r="A7" s="7">
        <f>IFERROR('Pivot Table 4'!A7, "")</f>
        <v>44158</v>
      </c>
      <c r="B7" s="4">
        <f>IFERROR('Pivot Table 4'!B7, "")</f>
        <v>20072</v>
      </c>
      <c r="C7" s="4">
        <f>IFERROR('Pivot Table 4'!C7, "")</f>
        <v>19024</v>
      </c>
      <c r="D7" s="4">
        <f>IFERROR('Pivot Table 4'!D7, "")</f>
        <v>18303</v>
      </c>
      <c r="E7" s="4">
        <f>IFERROR('Pivot Table 4'!E7, "")</f>
        <v>17967</v>
      </c>
      <c r="F7" s="4">
        <f>IFERROR('Pivot Table 4'!F7, "")</f>
        <v>17767</v>
      </c>
      <c r="G7" s="4">
        <f>IFERROR('Pivot Table 4'!G7, "")</f>
        <v>17704</v>
      </c>
      <c r="H7" s="4">
        <f>IFERROR('Pivot Table 4'!H7, "")</f>
        <v>17696</v>
      </c>
    </row>
    <row r="8">
      <c r="A8" s="7">
        <f>IFERROR('Pivot Table 4'!A8, "")</f>
        <v>44165</v>
      </c>
      <c r="B8" s="4">
        <f>IFERROR('Pivot Table 4'!B8, "")</f>
        <v>22034</v>
      </c>
      <c r="C8" s="4">
        <f>IFERROR('Pivot Table 4'!C8, "")</f>
        <v>20906</v>
      </c>
      <c r="D8" s="4">
        <f>IFERROR('Pivot Table 4'!D8, "")</f>
        <v>20034</v>
      </c>
      <c r="E8" s="4">
        <f>IFERROR('Pivot Table 4'!E8, "")</f>
        <v>19711</v>
      </c>
      <c r="F8" s="4">
        <f>IFERROR('Pivot Table 4'!F8, "")</f>
        <v>19635</v>
      </c>
      <c r="G8" s="4">
        <f>IFERROR('Pivot Table 4'!G8, "")</f>
        <v>19597</v>
      </c>
      <c r="H8" s="4">
        <f>IFERROR('Pivot Table 4'!H8, "")</f>
        <v>19552</v>
      </c>
    </row>
    <row r="9">
      <c r="A9" s="7">
        <f>IFERROR('Pivot Table 4'!A9, "")</f>
        <v>44172</v>
      </c>
      <c r="B9" s="4">
        <f>IFERROR('Pivot Table 4'!B9, "")</f>
        <v>28545</v>
      </c>
      <c r="C9" s="4">
        <f>IFERROR('Pivot Table 4'!C9, "")</f>
        <v>27271</v>
      </c>
      <c r="D9" s="4">
        <f>IFERROR('Pivot Table 4'!D9, "")</f>
        <v>26503</v>
      </c>
      <c r="E9" s="4">
        <f>IFERROR('Pivot Table 4'!E9, "")</f>
        <v>26360</v>
      </c>
      <c r="F9" s="4">
        <f>IFERROR('Pivot Table 4'!F9, "")</f>
        <v>26315</v>
      </c>
      <c r="G9" s="4">
        <f>IFERROR('Pivot Table 4'!G9, "")</f>
        <v>26204</v>
      </c>
      <c r="H9" s="4">
        <f>IFERROR('Pivot Table 4'!H9, "")</f>
        <v>26146</v>
      </c>
    </row>
    <row r="10">
      <c r="A10" s="7">
        <f>IFERROR('Pivot Table 4'!A10, "")</f>
        <v>44179</v>
      </c>
      <c r="B10" s="4">
        <f>IFERROR('Pivot Table 4'!B10, "")</f>
        <v>24839</v>
      </c>
      <c r="C10" s="4">
        <f>IFERROR('Pivot Table 4'!C10, "")</f>
        <v>23819</v>
      </c>
      <c r="D10" s="4">
        <f>IFERROR('Pivot Table 4'!D10, "")</f>
        <v>23311</v>
      </c>
      <c r="E10" s="4">
        <f>IFERROR('Pivot Table 4'!E10, "")</f>
        <v>23261</v>
      </c>
      <c r="F10" s="4">
        <f>IFERROR('Pivot Table 4'!F10, "")</f>
        <v>23150</v>
      </c>
      <c r="G10" s="4">
        <f>IFERROR('Pivot Table 4'!G10, "")</f>
        <v>23074</v>
      </c>
      <c r="H10" s="4">
        <f>IFERROR('Pivot Table 4'!H10, "")</f>
        <v>23023</v>
      </c>
    </row>
    <row r="11">
      <c r="A11" s="7">
        <f>IFERROR('Pivot Table 4'!A11, "")</f>
        <v>44186</v>
      </c>
      <c r="B11" s="4">
        <f>IFERROR('Pivot Table 4'!B11, "")</f>
        <v>17430</v>
      </c>
      <c r="C11" s="4">
        <f>IFERROR('Pivot Table 4'!C11, "")</f>
        <v>16934</v>
      </c>
      <c r="D11" s="4">
        <f>IFERROR('Pivot Table 4'!D11, "")</f>
        <v>16649</v>
      </c>
      <c r="E11" s="4">
        <f>IFERROR('Pivot Table 4'!E11, "")</f>
        <v>16554</v>
      </c>
      <c r="F11" s="4">
        <f>IFERROR('Pivot Table 4'!F11, "")</f>
        <v>16477</v>
      </c>
      <c r="G11" s="4">
        <f>IFERROR('Pivot Table 4'!G11, "")</f>
        <v>16421</v>
      </c>
      <c r="H11" s="4">
        <f>IFERROR('Pivot Table 4'!H11, "")</f>
        <v>16376</v>
      </c>
    </row>
    <row r="12">
      <c r="A12" s="7">
        <f>IFERROR('Pivot Table 4'!A12, "")</f>
        <v>44193</v>
      </c>
      <c r="B12" s="4">
        <f>IFERROR('Pivot Table 4'!B12, "")</f>
        <v>16615</v>
      </c>
      <c r="C12" s="4">
        <f>IFERROR('Pivot Table 4'!C12, "")</f>
        <v>16118</v>
      </c>
      <c r="D12" s="4">
        <f>IFERROR('Pivot Table 4'!D12, "")</f>
        <v>15786</v>
      </c>
      <c r="E12" s="4">
        <f>IFERROR('Pivot Table 4'!E12, "")</f>
        <v>15672</v>
      </c>
      <c r="F12" s="4">
        <f>IFERROR('Pivot Table 4'!F12, "")</f>
        <v>15600</v>
      </c>
      <c r="G12" s="4">
        <f>IFERROR('Pivot Table 4'!G12, "")</f>
        <v>15540</v>
      </c>
      <c r="H12" s="4" t="str">
        <f>IFERROR('Pivot Table 4'!H12, "")</f>
        <v/>
      </c>
    </row>
    <row r="13">
      <c r="A13" s="7">
        <f>IFERROR('Pivot Table 4'!A13, "")</f>
        <v>44200</v>
      </c>
      <c r="B13" s="4">
        <f>IFERROR('Pivot Table 4'!B13, "")</f>
        <v>22908</v>
      </c>
      <c r="C13" s="4">
        <f>IFERROR('Pivot Table 4'!C13, "")</f>
        <v>22026</v>
      </c>
      <c r="D13" s="4">
        <f>IFERROR('Pivot Table 4'!D13, "")</f>
        <v>21436</v>
      </c>
      <c r="E13" s="4">
        <f>IFERROR('Pivot Table 4'!E13, "")</f>
        <v>21223</v>
      </c>
      <c r="F13" s="4">
        <f>IFERROR('Pivot Table 4'!F13, "")</f>
        <v>21072</v>
      </c>
      <c r="G13" s="4" t="str">
        <f>IFERROR('Pivot Table 4'!G13, "")</f>
        <v/>
      </c>
      <c r="H13" s="4" t="str">
        <f>IFERROR('Pivot Table 4'!H13, "")</f>
        <v/>
      </c>
    </row>
    <row r="14">
      <c r="A14" s="7">
        <f>IFERROR('Pivot Table 4'!A14, "")</f>
        <v>44207</v>
      </c>
      <c r="B14" s="4">
        <f>IFERROR('Pivot Table 4'!B14, "")</f>
        <v>21433</v>
      </c>
      <c r="C14" s="4">
        <f>IFERROR('Pivot Table 4'!C14, "")</f>
        <v>20623</v>
      </c>
      <c r="D14" s="4">
        <f>IFERROR('Pivot Table 4'!D14, "")</f>
        <v>19982</v>
      </c>
      <c r="E14" s="4">
        <f>IFERROR('Pivot Table 4'!E14, "")</f>
        <v>19749</v>
      </c>
      <c r="F14" s="4" t="str">
        <f>IFERROR('Pivot Table 4'!F14, "")</f>
        <v/>
      </c>
      <c r="G14" s="4" t="str">
        <f>IFERROR('Pivot Table 4'!G14, "")</f>
        <v/>
      </c>
      <c r="H14" s="4" t="str">
        <f>IFERROR('Pivot Table 4'!H14, "")</f>
        <v/>
      </c>
    </row>
    <row r="15">
      <c r="A15" s="7">
        <f>IFERROR('Pivot Table 4'!A15, "")</f>
        <v>44214</v>
      </c>
      <c r="B15" s="4">
        <f>IFERROR('Pivot Table 4'!B15, "")</f>
        <v>20698</v>
      </c>
      <c r="C15" s="4">
        <f>IFERROR('Pivot Table 4'!C15, "")</f>
        <v>19807</v>
      </c>
      <c r="D15" s="4">
        <f>IFERROR('Pivot Table 4'!D15, "")</f>
        <v>19039</v>
      </c>
      <c r="E15" s="4" t="str">
        <f>IFERROR('Pivot Table 4'!E15, "")</f>
        <v/>
      </c>
      <c r="F15" s="4" t="str">
        <f>IFERROR('Pivot Table 4'!F15, "")</f>
        <v/>
      </c>
      <c r="G15" s="4" t="str">
        <f>IFERROR('Pivot Table 4'!G15, "")</f>
        <v/>
      </c>
      <c r="H15" s="4" t="str">
        <f>IFERROR('Pivot Table 4'!H15, "")</f>
        <v/>
      </c>
    </row>
    <row r="16">
      <c r="A16" s="7">
        <f>IFERROR('Pivot Table 4'!A16, "")</f>
        <v>44221</v>
      </c>
      <c r="B16" s="4">
        <f>IFERROR('Pivot Table 4'!B16, "")</f>
        <v>19442</v>
      </c>
      <c r="C16" s="4">
        <f>IFERROR('Pivot Table 4'!C16, "")</f>
        <v>18441</v>
      </c>
      <c r="D16" s="4" t="str">
        <f>IFERROR('Pivot Table 4'!D16, "")</f>
        <v/>
      </c>
      <c r="E16" s="4" t="str">
        <f>IFERROR('Pivot Table 4'!E16, "")</f>
        <v/>
      </c>
      <c r="F16" s="4" t="str">
        <f>IFERROR('Pivot Table 4'!F16, "")</f>
        <v/>
      </c>
      <c r="G16" s="4" t="str">
        <f>IFERROR('Pivot Table 4'!G16, "")</f>
        <v/>
      </c>
      <c r="H16" s="4" t="str">
        <f>IFERROR('Pivot Table 4'!H16, "")</f>
        <v/>
      </c>
    </row>
    <row r="17">
      <c r="A17" s="1" t="str">
        <f>IFERROR('Pivot Table 4'!A17, "")</f>
        <v/>
      </c>
      <c r="B17" s="1" t="str">
        <f>IFERROR('Pivot Table 4'!B17, "")</f>
        <v/>
      </c>
      <c r="C17" s="1" t="str">
        <f>IFERROR('Pivot Table 4'!C17, "")</f>
        <v/>
      </c>
      <c r="D17" s="1" t="str">
        <f>IFERROR('Pivot Table 4'!D17, "")</f>
        <v/>
      </c>
      <c r="E17" s="1" t="str">
        <f>IFERROR('Pivot Table 4'!E17, "")</f>
        <v/>
      </c>
      <c r="F17" s="1" t="str">
        <f>IFERROR('Pivot Table 4'!F17, "")</f>
        <v/>
      </c>
      <c r="G17" s="1" t="str">
        <f>IFERROR('Pivot Table 4'!G17, "")</f>
        <v/>
      </c>
      <c r="H17" s="1" t="str">
        <f>IFERROR('Pivot Table 4'!H17, "")</f>
        <v/>
      </c>
    </row>
    <row r="18">
      <c r="A18" s="1" t="str">
        <f>IFERROR('Pivot Table 4'!A18, "")</f>
        <v/>
      </c>
      <c r="B18" s="1" t="str">
        <f>IFERROR('Pivot Table 4'!B18, "")</f>
        <v/>
      </c>
      <c r="C18" s="1" t="str">
        <f>IFERROR('Pivot Table 4'!C18, "")</f>
        <v/>
      </c>
      <c r="D18" s="1" t="str">
        <f>IFERROR('Pivot Table 4'!D18, "")</f>
        <v/>
      </c>
      <c r="E18" s="1" t="str">
        <f>IFERROR('Pivot Table 4'!E18, "")</f>
        <v/>
      </c>
      <c r="F18" s="1" t="str">
        <f>IFERROR('Pivot Table 4'!F18, "")</f>
        <v/>
      </c>
      <c r="G18" s="1" t="str">
        <f>IFERROR('Pivot Table 4'!G18, "")</f>
        <v/>
      </c>
      <c r="H18" s="1" t="str">
        <f>IFERROR('Pivot Table 4'!H18, "")</f>
        <v/>
      </c>
    </row>
    <row r="19">
      <c r="A19" s="8" t="s">
        <v>7</v>
      </c>
      <c r="B19" s="9"/>
      <c r="C19" s="9"/>
      <c r="D19" s="9"/>
      <c r="E19" s="9"/>
      <c r="F19" s="9"/>
      <c r="G19" s="9"/>
      <c r="H19" s="10"/>
    </row>
    <row r="20">
      <c r="A20" s="4" t="s">
        <v>1</v>
      </c>
      <c r="B20" s="4" t="s">
        <v>8</v>
      </c>
      <c r="C20" s="4" t="s">
        <v>9</v>
      </c>
      <c r="D20" s="4" t="s">
        <v>10</v>
      </c>
      <c r="E20" s="4" t="s">
        <v>11</v>
      </c>
      <c r="F20" s="4" t="s">
        <v>12</v>
      </c>
      <c r="G20" s="4" t="s">
        <v>13</v>
      </c>
      <c r="H20" s="4" t="s">
        <v>14</v>
      </c>
    </row>
    <row r="21">
      <c r="A21" s="7">
        <f t="shared" ref="A21:A34" si="2">A3</f>
        <v>44130</v>
      </c>
      <c r="B21" s="11">
        <f t="shared" ref="B21:B34" si="3">IF(A3="", "", 1)</f>
        <v>1</v>
      </c>
      <c r="C21" s="11">
        <f t="shared" ref="C21:H21" si="1">IFERROR(C3 / $B3, "")</f>
        <v>1</v>
      </c>
      <c r="D21" s="11">
        <f t="shared" si="1"/>
        <v>0.9234672304</v>
      </c>
      <c r="E21" s="11">
        <f t="shared" si="1"/>
        <v>0.9019027484</v>
      </c>
      <c r="F21" s="11">
        <f t="shared" si="1"/>
        <v>0.8900634249</v>
      </c>
      <c r="G21" s="11">
        <f t="shared" si="1"/>
        <v>0.8828752643</v>
      </c>
      <c r="H21" s="11">
        <f t="shared" si="1"/>
        <v>0.8786469345</v>
      </c>
    </row>
    <row r="22">
      <c r="A22" s="7">
        <f t="shared" si="2"/>
        <v>44137</v>
      </c>
      <c r="B22" s="11">
        <f t="shared" si="3"/>
        <v>1</v>
      </c>
      <c r="C22" s="11">
        <f t="shared" ref="C22:H22" si="4">IFERROR(C4 / $B4, "")</f>
        <v>0.9421389491</v>
      </c>
      <c r="D22" s="11">
        <f t="shared" si="4"/>
        <v>0.9008464953</v>
      </c>
      <c r="E22" s="11">
        <f t="shared" si="4"/>
        <v>0.8822132755</v>
      </c>
      <c r="F22" s="11">
        <f t="shared" si="4"/>
        <v>0.8716836998</v>
      </c>
      <c r="G22" s="11">
        <f t="shared" si="4"/>
        <v>0.8616702798</v>
      </c>
      <c r="H22" s="11">
        <f t="shared" si="4"/>
        <v>0.8527407866</v>
      </c>
    </row>
    <row r="23">
      <c r="A23" s="7">
        <f t="shared" si="2"/>
        <v>44144</v>
      </c>
      <c r="B23" s="11">
        <f t="shared" si="3"/>
        <v>1</v>
      </c>
      <c r="C23" s="11">
        <f t="shared" ref="C23:H23" si="5">IFERROR(C5 / $B5, "")</f>
        <v>0.9440611138</v>
      </c>
      <c r="D23" s="11">
        <f t="shared" si="5"/>
        <v>0.8976712666</v>
      </c>
      <c r="E23" s="11">
        <f t="shared" si="5"/>
        <v>0.8827624446</v>
      </c>
      <c r="F23" s="11">
        <f t="shared" si="5"/>
        <v>0.8726589453</v>
      </c>
      <c r="G23" s="11">
        <f t="shared" si="5"/>
        <v>0.8617545589</v>
      </c>
      <c r="H23" s="11">
        <f t="shared" si="5"/>
        <v>0.8559635288</v>
      </c>
    </row>
    <row r="24">
      <c r="A24" s="7">
        <f t="shared" si="2"/>
        <v>44151</v>
      </c>
      <c r="B24" s="11">
        <f t="shared" si="3"/>
        <v>1</v>
      </c>
      <c r="C24" s="11">
        <f t="shared" ref="C24:H24" si="6">IFERROR(C6 / $B6, "")</f>
        <v>0.9437991963</v>
      </c>
      <c r="D24" s="11">
        <f t="shared" si="6"/>
        <v>0.9048824792</v>
      </c>
      <c r="E24" s="11">
        <f t="shared" si="6"/>
        <v>0.8875983927</v>
      </c>
      <c r="F24" s="11">
        <f t="shared" si="6"/>
        <v>0.8753233886</v>
      </c>
      <c r="G24" s="11">
        <f t="shared" si="6"/>
        <v>0.8666263004</v>
      </c>
      <c r="H24" s="11">
        <f t="shared" si="6"/>
        <v>0.8642043265</v>
      </c>
    </row>
    <row r="25">
      <c r="A25" s="7">
        <f t="shared" si="2"/>
        <v>44158</v>
      </c>
      <c r="B25" s="11">
        <f t="shared" si="3"/>
        <v>1</v>
      </c>
      <c r="C25" s="11">
        <f t="shared" ref="C25:H25" si="7">IFERROR(C7 / $B7, "")</f>
        <v>0.9477879633</v>
      </c>
      <c r="D25" s="11">
        <f t="shared" si="7"/>
        <v>0.9118672778</v>
      </c>
      <c r="E25" s="11">
        <f t="shared" si="7"/>
        <v>0.8951275409</v>
      </c>
      <c r="F25" s="11">
        <f t="shared" si="7"/>
        <v>0.8851634117</v>
      </c>
      <c r="G25" s="11">
        <f t="shared" si="7"/>
        <v>0.882024711</v>
      </c>
      <c r="H25" s="11">
        <f t="shared" si="7"/>
        <v>0.8816261459</v>
      </c>
    </row>
    <row r="26">
      <c r="A26" s="7">
        <f t="shared" si="2"/>
        <v>44165</v>
      </c>
      <c r="B26" s="11">
        <f t="shared" si="3"/>
        <v>1</v>
      </c>
      <c r="C26" s="11">
        <f t="shared" ref="C26:H26" si="8">IFERROR(C8 / $B8, "")</f>
        <v>0.9488063901</v>
      </c>
      <c r="D26" s="11">
        <f t="shared" si="8"/>
        <v>0.9092311882</v>
      </c>
      <c r="E26" s="11">
        <f t="shared" si="8"/>
        <v>0.8945720251</v>
      </c>
      <c r="F26" s="11">
        <f t="shared" si="8"/>
        <v>0.8911228102</v>
      </c>
      <c r="G26" s="11">
        <f t="shared" si="8"/>
        <v>0.8893982028</v>
      </c>
      <c r="H26" s="11">
        <f t="shared" si="8"/>
        <v>0.8873559045</v>
      </c>
    </row>
    <row r="27">
      <c r="A27" s="7">
        <f t="shared" si="2"/>
        <v>44172</v>
      </c>
      <c r="B27" s="11">
        <f t="shared" si="3"/>
        <v>1</v>
      </c>
      <c r="C27" s="11">
        <f t="shared" ref="C27:H27" si="9">IFERROR(C9 / $B9, "")</f>
        <v>0.9553687161</v>
      </c>
      <c r="D27" s="11">
        <f t="shared" si="9"/>
        <v>0.928463829</v>
      </c>
      <c r="E27" s="11">
        <f t="shared" si="9"/>
        <v>0.9234541951</v>
      </c>
      <c r="F27" s="11">
        <f t="shared" si="9"/>
        <v>0.9218777369</v>
      </c>
      <c r="G27" s="11">
        <f t="shared" si="9"/>
        <v>0.91798914</v>
      </c>
      <c r="H27" s="11">
        <f t="shared" si="9"/>
        <v>0.9159572605</v>
      </c>
    </row>
    <row r="28">
      <c r="A28" s="7">
        <f t="shared" si="2"/>
        <v>44179</v>
      </c>
      <c r="B28" s="11">
        <f t="shared" si="3"/>
        <v>1</v>
      </c>
      <c r="C28" s="11">
        <f t="shared" ref="C28:H28" si="10">IFERROR(C10 / $B10, "")</f>
        <v>0.9589355449</v>
      </c>
      <c r="D28" s="11">
        <f t="shared" si="10"/>
        <v>0.9384838359</v>
      </c>
      <c r="E28" s="11">
        <f t="shared" si="10"/>
        <v>0.9364708724</v>
      </c>
      <c r="F28" s="11">
        <f t="shared" si="10"/>
        <v>0.9320020935</v>
      </c>
      <c r="G28" s="11">
        <f t="shared" si="10"/>
        <v>0.928942389</v>
      </c>
      <c r="H28" s="11">
        <f t="shared" si="10"/>
        <v>0.9268891662</v>
      </c>
    </row>
    <row r="29">
      <c r="A29" s="7">
        <f t="shared" si="2"/>
        <v>44186</v>
      </c>
      <c r="B29" s="11">
        <f t="shared" si="3"/>
        <v>1</v>
      </c>
      <c r="C29" s="11">
        <f t="shared" ref="C29:H29" si="11">IFERROR(C11 / $B11, "")</f>
        <v>0.9715433161</v>
      </c>
      <c r="D29" s="11">
        <f t="shared" si="11"/>
        <v>0.9551921974</v>
      </c>
      <c r="E29" s="11">
        <f t="shared" si="11"/>
        <v>0.9497418244</v>
      </c>
      <c r="F29" s="11">
        <f t="shared" si="11"/>
        <v>0.9453241538</v>
      </c>
      <c r="G29" s="11">
        <f t="shared" si="11"/>
        <v>0.9421113024</v>
      </c>
      <c r="H29" s="11">
        <f t="shared" si="11"/>
        <v>0.9395295468</v>
      </c>
    </row>
    <row r="30">
      <c r="A30" s="7">
        <f t="shared" si="2"/>
        <v>44193</v>
      </c>
      <c r="B30" s="11">
        <f t="shared" si="3"/>
        <v>1</v>
      </c>
      <c r="C30" s="11">
        <f t="shared" ref="C30:G30" si="12">IFERROR(C12 / $B12, "")</f>
        <v>0.9700872705</v>
      </c>
      <c r="D30" s="11">
        <f t="shared" si="12"/>
        <v>0.9501053265</v>
      </c>
      <c r="E30" s="11">
        <f t="shared" si="12"/>
        <v>0.9432440566</v>
      </c>
      <c r="F30" s="11">
        <f t="shared" si="12"/>
        <v>0.9389106229</v>
      </c>
      <c r="G30" s="11">
        <f t="shared" si="12"/>
        <v>0.9352994282</v>
      </c>
      <c r="H30" s="11"/>
    </row>
    <row r="31">
      <c r="A31" s="7">
        <f t="shared" si="2"/>
        <v>44200</v>
      </c>
      <c r="B31" s="11">
        <f t="shared" si="3"/>
        <v>1</v>
      </c>
      <c r="C31" s="11">
        <f t="shared" ref="C31:F31" si="13">IFERROR(C13 / $B13, "")</f>
        <v>0.9614981666</v>
      </c>
      <c r="D31" s="11">
        <f t="shared" si="13"/>
        <v>0.9357429719</v>
      </c>
      <c r="E31" s="11">
        <f t="shared" si="13"/>
        <v>0.9264449101</v>
      </c>
      <c r="F31" s="11">
        <f t="shared" si="13"/>
        <v>0.9198533263</v>
      </c>
      <c r="G31" s="11"/>
      <c r="H31" s="11"/>
    </row>
    <row r="32">
      <c r="A32" s="7">
        <f t="shared" si="2"/>
        <v>44207</v>
      </c>
      <c r="B32" s="11">
        <f t="shared" si="3"/>
        <v>1</v>
      </c>
      <c r="C32" s="11">
        <f t="shared" ref="C32:E32" si="14">IFERROR(C14 / $B14, "")</f>
        <v>0.9622078104</v>
      </c>
      <c r="D32" s="11">
        <f t="shared" si="14"/>
        <v>0.9323006579</v>
      </c>
      <c r="E32" s="11">
        <f t="shared" si="14"/>
        <v>0.9214295712</v>
      </c>
      <c r="F32" s="11"/>
      <c r="G32" s="11"/>
      <c r="H32" s="11"/>
    </row>
    <row r="33">
      <c r="A33" s="7">
        <f t="shared" si="2"/>
        <v>44214</v>
      </c>
      <c r="B33" s="11">
        <f t="shared" si="3"/>
        <v>1</v>
      </c>
      <c r="C33" s="11">
        <f t="shared" ref="C33:D33" si="15">IFERROR(C15 / $B15, "")</f>
        <v>0.9569523625</v>
      </c>
      <c r="D33" s="11">
        <f t="shared" si="15"/>
        <v>0.9198473282</v>
      </c>
      <c r="E33" s="11"/>
      <c r="F33" s="11"/>
      <c r="G33" s="11"/>
      <c r="H33" s="11"/>
    </row>
    <row r="34">
      <c r="A34" s="7">
        <f t="shared" si="2"/>
        <v>44221</v>
      </c>
      <c r="B34" s="11">
        <f t="shared" si="3"/>
        <v>1</v>
      </c>
      <c r="C34" s="11">
        <f>IFERROR(C16 / $B16, "")</f>
        <v>0.9485135274</v>
      </c>
      <c r="D34" s="11"/>
      <c r="E34" s="11"/>
      <c r="F34" s="11"/>
      <c r="G34" s="11"/>
      <c r="H34" s="11"/>
    </row>
  </sheetData>
  <mergeCells count="1">
    <mergeCell ref="A19:H19"/>
  </mergeCells>
  <conditionalFormatting sqref="B21:H34">
    <cfRule type="colorScale" priority="1">
      <colorScale>
        <cfvo type="min"/>
        <cfvo type="percentile" val="50"/>
        <cfvo type="max"/>
        <color rgb="FFFF9900"/>
        <color rgb="FFFFF2CC"/>
        <color rgb="FF57BB8A"/>
      </colorScale>
    </cfRule>
  </conditionalFormatting>
  <drawing r:id="rId1"/>
</worksheet>
</file>